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 Profitability" sheetId="1" state="visible" r:id="rId1"/>
    <sheet name="Recipes" sheetId="2" state="visible" r:id="rId2"/>
    <sheet name="Ingredient Prices" sheetId="3" state="visible" r:id="rId3"/>
    <sheet name="Invoice Log" sheetId="4" state="visible" r:id="rId4"/>
    <sheet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.00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6" fontId="0" fillId="4" borderId="1" pivotButton="0" quotePrefix="0" xfId="0"/>
    <xf numFmtId="0" fontId="2" fillId="4" borderId="1" pivotButton="0" quotePrefix="0" xfId="0"/>
    <xf numFmtId="166" fontId="0" fillId="3" borderId="1" pivotButton="0" quotePrefix="0" xfId="0"/>
    <xf numFmtId="0" fontId="0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2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0" customWidth="1" min="7" max="7"/>
    <col width="46" customWidth="1" min="8" max="8"/>
  </cols>
  <sheetData>
    <row r="1">
      <c r="A1" s="1" t="inlineStr">
        <is>
          <t>Arepas House - Menu Profitability</t>
        </is>
      </c>
    </row>
    <row r="2">
      <c r="A2" s="2" t="inlineStr">
        <is>
          <t>Prices from Square catalog (Jul 2026). Costs roll up from the Recipes sheet - edit portions there and this sheet recalculates.</t>
        </is>
      </c>
    </row>
    <row r="4">
      <c r="A4" s="3" t="inlineStr">
        <is>
          <t>Menu Item</t>
        </is>
      </c>
      <c r="B4" s="3" t="inlineStr">
        <is>
          <t>Category</t>
        </is>
      </c>
      <c r="C4" s="3" t="inlineStr">
        <is>
          <t>Menu Price</t>
        </is>
      </c>
      <c r="D4" s="3" t="inlineStr">
        <is>
          <t>Ingredient Cost</t>
        </is>
      </c>
      <c r="E4" s="3" t="inlineStr">
        <is>
          <t>Gross Profit $</t>
        </is>
      </c>
      <c r="F4" s="3" t="inlineStr">
        <is>
          <t>Food Cost %</t>
        </is>
      </c>
      <c r="G4" s="3" t="inlineStr">
        <is>
          <t>Margin %</t>
        </is>
      </c>
      <c r="H4" s="3" t="inlineStr">
        <is>
          <t>Notes</t>
        </is>
      </c>
    </row>
    <row r="5">
      <c r="A5" s="4" t="inlineStr">
        <is>
          <t>Yucca Fries (7 units)</t>
        </is>
      </c>
      <c r="B5" s="4" t="inlineStr">
        <is>
          <t>Appetizers</t>
        </is>
      </c>
      <c r="C5" s="5" t="n">
        <v>6.99</v>
      </c>
      <c r="D5" s="5">
        <f>SUMIF(Recipes!$A:$A,$A5,Recipes!$F:$F)</f>
        <v/>
      </c>
      <c r="E5" s="5">
        <f>C5-D5</f>
        <v/>
      </c>
      <c r="F5" s="6">
        <f>IF(C5=0,"",D5/C5)</f>
        <v/>
      </c>
      <c r="G5" s="6">
        <f>IF(C5=0,"",E5/C5)</f>
        <v/>
      </c>
      <c r="H5" s="7" t="inlineStr">
        <is>
          <t>INCOMPLETE - yuca price missing (unreadable invoice)</t>
        </is>
      </c>
    </row>
    <row r="6">
      <c r="A6" s="4" t="inlineStr">
        <is>
          <t>Plantains and Cheese (7 units)</t>
        </is>
      </c>
      <c r="B6" s="4" t="inlineStr">
        <is>
          <t>Appetizers</t>
        </is>
      </c>
      <c r="C6" s="5" t="n">
        <v>6.99</v>
      </c>
      <c r="D6" s="5">
        <f>SUMIF(Recipes!$A:$A,$A6,Recipes!$F:$F)</f>
        <v/>
      </c>
      <c r="E6" s="5">
        <f>C6-D6</f>
        <v/>
      </c>
      <c r="F6" s="6">
        <f>IF(C6=0,"",D6/C6)</f>
        <v/>
      </c>
      <c r="G6" s="6">
        <f>IF(C6=0,"",E6/C6)</f>
        <v/>
      </c>
      <c r="H6" s="7" t="inlineStr">
        <is>
          <t>INCOMPLETE - plantain price missing (unreadable invoice)</t>
        </is>
      </c>
    </row>
    <row r="7">
      <c r="A7" s="8" t="inlineStr">
        <is>
          <t>Tequeños (5 units)</t>
        </is>
      </c>
      <c r="B7" s="8" t="inlineStr">
        <is>
          <t>Appetizers</t>
        </is>
      </c>
      <c r="C7" s="9" t="n">
        <v>8.99</v>
      </c>
      <c r="D7" s="9">
        <f>SUMIF(Recipes!$A:$A,$A7,Recipes!$F:$F)</f>
        <v/>
      </c>
      <c r="E7" s="9">
        <f>C7-D7</f>
        <v/>
      </c>
      <c r="F7" s="10">
        <f>IF(C7=0,"",D7/C7)</f>
        <v/>
      </c>
      <c r="G7" s="10">
        <f>IF(C7=0,"",E7/C7)</f>
        <v/>
      </c>
      <c r="H7" s="11" t="inlineStr"/>
    </row>
    <row r="8">
      <c r="A8" s="8" t="inlineStr">
        <is>
          <t>Empanadas</t>
        </is>
      </c>
      <c r="B8" s="8" t="inlineStr">
        <is>
          <t>Appetizers</t>
        </is>
      </c>
      <c r="C8" s="9" t="n">
        <v>4.95</v>
      </c>
      <c r="D8" s="9">
        <f>SUMIF(Recipes!$A:$A,$A8,Recipes!$F:$F)</f>
        <v/>
      </c>
      <c r="E8" s="9">
        <f>C8-D8</f>
        <v/>
      </c>
      <c r="F8" s="10">
        <f>IF(C8=0,"",D8/C8)</f>
        <v/>
      </c>
      <c r="G8" s="10">
        <f>IF(C8=0,"",E8/C8)</f>
        <v/>
      </c>
      <c r="H8" s="11" t="inlineStr"/>
    </row>
    <row r="9">
      <c r="A9" s="8" t="inlineStr">
        <is>
          <t>Pastelitos</t>
        </is>
      </c>
      <c r="B9" s="8" t="inlineStr">
        <is>
          <t>Appetizers</t>
        </is>
      </c>
      <c r="C9" s="9" t="n">
        <v>4.95</v>
      </c>
      <c r="D9" s="9">
        <f>SUMIF(Recipes!$A:$A,$A9,Recipes!$F:$F)</f>
        <v/>
      </c>
      <c r="E9" s="9">
        <f>C9-D9</f>
        <v/>
      </c>
      <c r="F9" s="10">
        <f>IF(C9=0,"",D9/C9)</f>
        <v/>
      </c>
      <c r="G9" s="10">
        <f>IF(C9=0,"",E9/C9)</f>
        <v/>
      </c>
      <c r="H9" s="11" t="inlineStr"/>
    </row>
    <row r="10">
      <c r="A10" s="8" t="inlineStr">
        <is>
          <t>Arepa Cheese</t>
        </is>
      </c>
      <c r="B10" s="8" t="inlineStr">
        <is>
          <t>Arepas</t>
        </is>
      </c>
      <c r="C10" s="9" t="n">
        <v>6.99</v>
      </c>
      <c r="D10" s="9">
        <f>SUMIF(Recipes!$A:$A,$A10,Recipes!$F:$F)</f>
        <v/>
      </c>
      <c r="E10" s="9">
        <f>C10-D10</f>
        <v/>
      </c>
      <c r="F10" s="10">
        <f>IF(C10=0,"",D10/C10)</f>
        <v/>
      </c>
      <c r="G10" s="10">
        <f>IF(C10=0,"",E10/C10)</f>
        <v/>
      </c>
      <c r="H10" s="11" t="inlineStr"/>
    </row>
    <row r="11">
      <c r="A11" s="8" t="inlineStr">
        <is>
          <t>Arepa Domino</t>
        </is>
      </c>
      <c r="B11" s="8" t="inlineStr">
        <is>
          <t>Arepas</t>
        </is>
      </c>
      <c r="C11" s="9" t="n">
        <v>6.99</v>
      </c>
      <c r="D11" s="9">
        <f>SUMIF(Recipes!$A:$A,$A11,Recipes!$F:$F)</f>
        <v/>
      </c>
      <c r="E11" s="9">
        <f>C11-D11</f>
        <v/>
      </c>
      <c r="F11" s="10">
        <f>IF(C11=0,"",D11/C11)</f>
        <v/>
      </c>
      <c r="G11" s="10">
        <f>IF(C11=0,"",E11/C11)</f>
        <v/>
      </c>
      <c r="H11" s="11" t="inlineStr"/>
    </row>
    <row r="12">
      <c r="A12" s="4" t="inlineStr">
        <is>
          <t>Arepa Chicken</t>
        </is>
      </c>
      <c r="B12" s="4" t="inlineStr">
        <is>
          <t>Arepas</t>
        </is>
      </c>
      <c r="C12" s="5" t="n">
        <v>12.99</v>
      </c>
      <c r="D12" s="5">
        <f>SUMIF(Recipes!$A:$A,$A12,Recipes!$F:$F)</f>
        <v/>
      </c>
      <c r="E12" s="5">
        <f>C12-D12</f>
        <v/>
      </c>
      <c r="F12" s="6">
        <f>IF(C12=0,"",D12/C12)</f>
        <v/>
      </c>
      <c r="G12" s="6">
        <f>IF(C12=0,"",E12/C12)</f>
        <v/>
      </c>
      <c r="H12" s="7" t="inlineStr"/>
    </row>
    <row r="13">
      <c r="A13" s="4" t="inlineStr">
        <is>
          <t>Arepa Pabellon</t>
        </is>
      </c>
      <c r="B13" s="4" t="inlineStr">
        <is>
          <t>Arepas</t>
        </is>
      </c>
      <c r="C13" s="5" t="n">
        <v>13.99</v>
      </c>
      <c r="D13" s="5">
        <f>SUMIF(Recipes!$A:$A,$A13,Recipes!$F:$F)</f>
        <v/>
      </c>
      <c r="E13" s="5">
        <f>C13-D13</f>
        <v/>
      </c>
      <c r="F13" s="6">
        <f>IF(C13=0,"",D13/C13)</f>
        <v/>
      </c>
      <c r="G13" s="6">
        <f>IF(C13=0,"",E13/C13)</f>
        <v/>
      </c>
      <c r="H13" s="7" t="inlineStr"/>
    </row>
    <row r="14">
      <c r="A14" s="4" t="inlineStr">
        <is>
          <t>Arepas Vegetarian</t>
        </is>
      </c>
      <c r="B14" s="4" t="inlineStr">
        <is>
          <t>Arepas</t>
        </is>
      </c>
      <c r="C14" s="5" t="n">
        <v>10.99</v>
      </c>
      <c r="D14" s="5">
        <f>SUMIF(Recipes!$A:$A,$A14,Recipes!$F:$F)</f>
        <v/>
      </c>
      <c r="E14" s="5">
        <f>C14-D14</f>
        <v/>
      </c>
      <c r="F14" s="6">
        <f>IF(C14=0,"",D14/C14)</f>
        <v/>
      </c>
      <c r="G14" s="6">
        <f>IF(C14=0,"",E14/C14)</f>
        <v/>
      </c>
      <c r="H14" s="7" t="inlineStr"/>
    </row>
    <row r="15">
      <c r="A15" s="4" t="inlineStr">
        <is>
          <t>Arepa Vegan</t>
        </is>
      </c>
      <c r="B15" s="4" t="inlineStr">
        <is>
          <t>Arepas</t>
        </is>
      </c>
      <c r="C15" s="5" t="n">
        <v>10.99</v>
      </c>
      <c r="D15" s="5">
        <f>SUMIF(Recipes!$A:$A,$A15,Recipes!$F:$F)</f>
        <v/>
      </c>
      <c r="E15" s="5">
        <f>C15-D15</f>
        <v/>
      </c>
      <c r="F15" s="6">
        <f>IF(C15=0,"",D15/C15)</f>
        <v/>
      </c>
      <c r="G15" s="6">
        <f>IF(C15=0,"",E15/C15)</f>
        <v/>
      </c>
      <c r="H15" s="7" t="inlineStr"/>
    </row>
    <row r="16">
      <c r="A16" s="4" t="inlineStr">
        <is>
          <t>Arepa Queen</t>
        </is>
      </c>
      <c r="B16" s="4" t="inlineStr">
        <is>
          <t>Arepas</t>
        </is>
      </c>
      <c r="C16" s="5" t="n">
        <v>11.99</v>
      </c>
      <c r="D16" s="5">
        <f>SUMIF(Recipes!$A:$A,$A16,Recipes!$F:$F)</f>
        <v/>
      </c>
      <c r="E16" s="5">
        <f>C16-D16</f>
        <v/>
      </c>
      <c r="F16" s="6">
        <f>IF(C16=0,"",D16/C16)</f>
        <v/>
      </c>
      <c r="G16" s="6">
        <f>IF(C16=0,"",E16/C16)</f>
        <v/>
      </c>
      <c r="H16" s="7" t="inlineStr"/>
    </row>
    <row r="17">
      <c r="A17" s="8" t="inlineStr">
        <is>
          <t>Cachapas</t>
        </is>
      </c>
      <c r="B17" s="8" t="inlineStr">
        <is>
          <t>Mains</t>
        </is>
      </c>
      <c r="C17" s="9" t="n">
        <v>16.99</v>
      </c>
      <c r="D17" s="9">
        <f>SUMIF(Recipes!$A:$A,$A17,Recipes!$F:$F)</f>
        <v/>
      </c>
      <c r="E17" s="9">
        <f>C17-D17</f>
        <v/>
      </c>
      <c r="F17" s="10">
        <f>IF(C17=0,"",D17/C17)</f>
        <v/>
      </c>
      <c r="G17" s="10">
        <f>IF(C17=0,"",E17/C17)</f>
        <v/>
      </c>
      <c r="H17" s="11" t="inlineStr">
        <is>
          <t>Verify cachapas per pack on Ingredient Prices sheet</t>
        </is>
      </c>
    </row>
    <row r="18">
      <c r="A18" s="8" t="inlineStr">
        <is>
          <t>Patacon (Original)</t>
        </is>
      </c>
      <c r="B18" s="8" t="inlineStr">
        <is>
          <t>Mains</t>
        </is>
      </c>
      <c r="C18" s="9" t="n">
        <v>19.95</v>
      </c>
      <c r="D18" s="9">
        <f>SUMIF(Recipes!$A:$A,$A18,Recipes!$F:$F)</f>
        <v/>
      </c>
      <c r="E18" s="9">
        <f>C18-D18</f>
        <v/>
      </c>
      <c r="F18" s="10">
        <f>IF(C18=0,"",D18/C18)</f>
        <v/>
      </c>
      <c r="G18" s="10">
        <f>IF(C18=0,"",E18/C18)</f>
        <v/>
      </c>
      <c r="H18" s="11" t="inlineStr"/>
    </row>
    <row r="19">
      <c r="A19" s="8" t="inlineStr">
        <is>
          <t>Patacon (Vegetarian)</t>
        </is>
      </c>
      <c r="B19" s="8" t="inlineStr">
        <is>
          <t>Mains</t>
        </is>
      </c>
      <c r="C19" s="9" t="n">
        <v>15.99</v>
      </c>
      <c r="D19" s="9">
        <f>SUMIF(Recipes!$A:$A,$A19,Recipes!$F:$F)</f>
        <v/>
      </c>
      <c r="E19" s="9">
        <f>C19-D19</f>
        <v/>
      </c>
      <c r="F19" s="10">
        <f>IF(C19=0,"",D19/C19)</f>
        <v/>
      </c>
      <c r="G19" s="10">
        <f>IF(C19=0,"",E19/C19)</f>
        <v/>
      </c>
      <c r="H19" s="11" t="inlineStr"/>
    </row>
    <row r="20">
      <c r="A20" s="8" t="inlineStr">
        <is>
          <t>Passion Fruit (20 oz)</t>
        </is>
      </c>
      <c r="B20" s="8" t="inlineStr">
        <is>
          <t>Drinks</t>
        </is>
      </c>
      <c r="C20" s="9" t="n">
        <v>4.75</v>
      </c>
      <c r="D20" s="9">
        <f>SUMIF(Recipes!$A:$A,$A20,Recipes!$F:$F)</f>
        <v/>
      </c>
      <c r="E20" s="9">
        <f>C20-D20</f>
        <v/>
      </c>
      <c r="F20" s="10">
        <f>IF(C20=0,"",D20/C20)</f>
        <v/>
      </c>
      <c r="G20" s="10">
        <f>IF(C20=0,"",E20/C20)</f>
        <v/>
      </c>
      <c r="H20" s="11" t="inlineStr"/>
    </row>
    <row r="21">
      <c r="A21" s="8" t="inlineStr">
        <is>
          <t>Pineapple Juice (20 oz)</t>
        </is>
      </c>
      <c r="B21" s="8" t="inlineStr">
        <is>
          <t>Drinks</t>
        </is>
      </c>
      <c r="C21" s="9" t="n">
        <v>4.75</v>
      </c>
      <c r="D21" s="9">
        <f>SUMIF(Recipes!$A:$A,$A21,Recipes!$F:$F)</f>
        <v/>
      </c>
      <c r="E21" s="9">
        <f>C21-D21</f>
        <v/>
      </c>
      <c r="F21" s="10">
        <f>IF(C21=0,"",D21/C21)</f>
        <v/>
      </c>
      <c r="G21" s="10">
        <f>IF(C21=0,"",E21/C21)</f>
        <v/>
      </c>
      <c r="H21" s="11" t="inlineStr"/>
    </row>
    <row r="22">
      <c r="A22" s="8" t="inlineStr">
        <is>
          <t>Papelon con Limon (20 oz)</t>
        </is>
      </c>
      <c r="B22" s="8" t="inlineStr">
        <is>
          <t>Drinks</t>
        </is>
      </c>
      <c r="C22" s="9" t="n">
        <v>4.75</v>
      </c>
      <c r="D22" s="9">
        <f>SUMIF(Recipes!$A:$A,$A22,Recipes!$F:$F)</f>
        <v/>
      </c>
      <c r="E22" s="9">
        <f>C22-D22</f>
        <v/>
      </c>
      <c r="F22" s="10">
        <f>IF(C22=0,"",D22/C22)</f>
        <v/>
      </c>
      <c r="G22" s="10">
        <f>IF(C22=0,"",E22/C22)</f>
        <v/>
      </c>
      <c r="H22" s="11" t="inlineStr"/>
    </row>
    <row r="23">
      <c r="A23" s="8" t="inlineStr">
        <is>
          <t>Malta Polar (12 oz)</t>
        </is>
      </c>
      <c r="B23" s="8" t="inlineStr">
        <is>
          <t>Drinks</t>
        </is>
      </c>
      <c r="C23" s="9" t="n">
        <v>4.25</v>
      </c>
      <c r="D23" s="9">
        <f>SUMIF(Recipes!$A:$A,$A23,Recipes!$F:$F)</f>
        <v/>
      </c>
      <c r="E23" s="9">
        <f>C23-D23</f>
        <v/>
      </c>
      <c r="F23" s="10">
        <f>IF(C23=0,"",D23/C23)</f>
        <v/>
      </c>
      <c r="G23" s="10">
        <f>IF(C23=0,"",E23/C23)</f>
        <v/>
      </c>
      <c r="H23" s="11" t="inlineStr">
        <is>
          <t>Cost is an estimate - no recent invoice</t>
        </is>
      </c>
    </row>
    <row r="24">
      <c r="A24" s="8" t="inlineStr">
        <is>
          <t>Frescolita (12 oz)</t>
        </is>
      </c>
      <c r="B24" s="8" t="inlineStr">
        <is>
          <t>Drinks</t>
        </is>
      </c>
      <c r="C24" s="9" t="n">
        <v>4</v>
      </c>
      <c r="D24" s="9">
        <f>SUMIF(Recipes!$A:$A,$A24,Recipes!$F:$F)</f>
        <v/>
      </c>
      <c r="E24" s="9">
        <f>C24-D24</f>
        <v/>
      </c>
      <c r="F24" s="10">
        <f>IF(C24=0,"",D24/C24)</f>
        <v/>
      </c>
      <c r="G24" s="10">
        <f>IF(C24=0,"",E24/C24)</f>
        <v/>
      </c>
      <c r="H24" s="11" t="inlineStr"/>
    </row>
    <row r="25">
      <c r="A25" s="8" t="inlineStr">
        <is>
          <t>Cri-Cri</t>
        </is>
      </c>
      <c r="B25" s="8" t="inlineStr">
        <is>
          <t>Candy</t>
        </is>
      </c>
      <c r="C25" s="9" t="n">
        <v>1.75</v>
      </c>
      <c r="D25" s="9">
        <f>SUMIF(Recipes!$A:$A,$A25,Recipes!$F:$F)</f>
        <v/>
      </c>
      <c r="E25" s="9">
        <f>C25-D25</f>
        <v/>
      </c>
      <c r="F25" s="10">
        <f>IF(C25=0,"",D25/C25)</f>
        <v/>
      </c>
      <c r="G25" s="10">
        <f>IF(C25=0,"",E25/C25)</f>
        <v/>
      </c>
      <c r="H25" s="11" t="inlineStr"/>
    </row>
    <row r="26">
      <c r="A26" s="8" t="inlineStr">
        <is>
          <t>Pirucream</t>
        </is>
      </c>
      <c r="B26" s="8" t="inlineStr">
        <is>
          <t>Candy</t>
        </is>
      </c>
      <c r="C26" s="9" t="n">
        <v>15</v>
      </c>
      <c r="D26" s="9">
        <f>SUMIF(Recipes!$A:$A,$A26,Recipes!$F:$F)</f>
        <v/>
      </c>
      <c r="E26" s="9">
        <f>C26-D26</f>
        <v/>
      </c>
      <c r="F26" s="10">
        <f>IF(C26=0,"",D26/C26)</f>
        <v/>
      </c>
      <c r="G26" s="10">
        <f>IF(C26=0,"",E26/C26)</f>
        <v/>
      </c>
      <c r="H26" s="11" t="inlineStr"/>
    </row>
    <row r="27">
      <c r="A27" s="8" t="inlineStr">
        <is>
          <t>Cocosette</t>
        </is>
      </c>
      <c r="B27" s="8" t="inlineStr">
        <is>
          <t>Candy</t>
        </is>
      </c>
      <c r="C27" s="9" t="n">
        <v>2</v>
      </c>
      <c r="D27" s="9">
        <f>SUMIF(Recipes!$A:$A,$A27,Recipes!$F:$F)</f>
        <v/>
      </c>
      <c r="E27" s="9">
        <f>C27-D27</f>
        <v/>
      </c>
      <c r="F27" s="10">
        <f>IF(C27=0,"",D27/C27)</f>
        <v/>
      </c>
      <c r="G27" s="10">
        <f>IF(C27=0,"",E27/C27)</f>
        <v/>
      </c>
      <c r="H27" s="11" t="inlineStr"/>
    </row>
    <row r="28">
      <c r="A28" s="8" t="inlineStr">
        <is>
          <t>Samba (Strawberry)</t>
        </is>
      </c>
      <c r="B28" s="8" t="inlineStr">
        <is>
          <t>Candy</t>
        </is>
      </c>
      <c r="C28" s="9" t="n">
        <v>2</v>
      </c>
      <c r="D28" s="9">
        <f>SUMIF(Recipes!$A:$A,$A28,Recipes!$F:$F)</f>
        <v/>
      </c>
      <c r="E28" s="9">
        <f>C28-D28</f>
        <v/>
      </c>
      <c r="F28" s="10">
        <f>IF(C28=0,"",D28/C28)</f>
        <v/>
      </c>
      <c r="G28" s="10">
        <f>IF(C28=0,"",E28/C28)</f>
        <v/>
      </c>
      <c r="H28" s="11" t="inlineStr"/>
    </row>
    <row r="29">
      <c r="A29" s="8" t="inlineStr">
        <is>
          <t>Carré (Savoy Hazelnut Milk Chocolate)</t>
        </is>
      </c>
      <c r="B29" s="8" t="inlineStr">
        <is>
          <t>Candy</t>
        </is>
      </c>
      <c r="C29" s="9" t="n">
        <v>3.75</v>
      </c>
      <c r="D29" s="9">
        <f>SUMIF(Recipes!$A:$A,$A29,Recipes!$F:$F)</f>
        <v/>
      </c>
      <c r="E29" s="9">
        <f>C29-D29</f>
        <v/>
      </c>
      <c r="F29" s="10">
        <f>IF(C29=0,"",D29/C29)</f>
        <v/>
      </c>
      <c r="G29" s="10">
        <f>IF(C29=0,"",E29/C29)</f>
        <v/>
      </c>
      <c r="H29" s="11" t="inlineStr">
        <is>
          <t>Cost is an estimate - no recent invoice</t>
        </is>
      </c>
    </row>
    <row r="30">
      <c r="A30" s="8" t="inlineStr">
        <is>
          <t>Savoy - Chocolate de Leche</t>
        </is>
      </c>
      <c r="B30" s="8" t="inlineStr">
        <is>
          <t>Candy</t>
        </is>
      </c>
      <c r="C30" s="9" t="n">
        <v>1.75</v>
      </c>
      <c r="D30" s="9">
        <f>SUMIF(Recipes!$A:$A,$A30,Recipes!$F:$F)</f>
        <v/>
      </c>
      <c r="E30" s="9">
        <f>C30-D30</f>
        <v/>
      </c>
      <c r="F30" s="10">
        <f>IF(C30=0,"",D30/C30)</f>
        <v/>
      </c>
      <c r="G30" s="10">
        <f>IF(C30=0,"",E30/C30)</f>
        <v/>
      </c>
      <c r="H30" s="11" t="inlineStr"/>
    </row>
    <row r="31">
      <c r="A31" s="8" t="inlineStr">
        <is>
          <t>Galak - White Chocolate</t>
        </is>
      </c>
      <c r="B31" s="8" t="inlineStr">
        <is>
          <t>Candy</t>
        </is>
      </c>
      <c r="C31" s="9" t="n">
        <v>1.75</v>
      </c>
      <c r="D31" s="9">
        <f>SUMIF(Recipes!$A:$A,$A31,Recipes!$F:$F)</f>
        <v/>
      </c>
      <c r="E31" s="9">
        <f>C31-D31</f>
        <v/>
      </c>
      <c r="F31" s="10">
        <f>IF(C31=0,"",D31/C31)</f>
        <v/>
      </c>
      <c r="G31" s="10">
        <f>IF(C31=0,"",E31/C31)</f>
        <v/>
      </c>
      <c r="H31" s="11" t="inlineStr"/>
    </row>
  </sheetData>
  <conditionalFormatting sqref="F5:F31">
    <cfRule type="cellIs" priority="1" operator="lessThan" dxfId="0">
      <formula>0.3</formula>
    </cfRule>
    <cfRule type="cellIs" priority="2" operator="between" dxfId="1">
      <formula>0.3</formula>
      <formula>0.4</formula>
    </cfRule>
    <cfRule type="cellIs" priority="3" operator="greaterThan" dxfId="2">
      <formula>0.4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8" customWidth="1" min="3" max="3"/>
    <col width="8" customWidth="1" min="4" max="4"/>
    <col width="11" customWidth="1" min="5" max="5"/>
    <col width="11" customWidth="1" min="6" max="6"/>
    <col width="48" customWidth="1" min="7" max="7"/>
  </cols>
  <sheetData>
    <row r="1">
      <c r="A1" s="1" t="inlineStr">
        <is>
          <t>Recipes - DRAFT portions, please correct</t>
        </is>
      </c>
    </row>
    <row r="2">
      <c r="A2" s="2" t="inlineStr">
        <is>
          <t>Qty unit must match the ingredient's unit on the Ingredient Prices sheet. Edit Qty (col C) to your real serving sizes; costs update automatically. Add rows freely - keep the menu item name identical to the Menu Profitability sheet.</t>
        </is>
      </c>
    </row>
    <row r="4">
      <c r="A4" s="3" t="inlineStr">
        <is>
          <t>Menu Item</t>
        </is>
      </c>
      <c r="B4" s="3" t="inlineStr">
        <is>
          <t>Ingredient</t>
        </is>
      </c>
      <c r="C4" s="3" t="inlineStr">
        <is>
          <t>Qty</t>
        </is>
      </c>
      <c r="D4" s="3" t="inlineStr">
        <is>
          <t>Unit</t>
        </is>
      </c>
      <c r="E4" s="3" t="inlineStr">
        <is>
          <t>Unit Cost</t>
        </is>
      </c>
      <c r="F4" s="3" t="inlineStr">
        <is>
          <t>Line Cost</t>
        </is>
      </c>
      <c r="G4" s="3" t="inlineStr">
        <is>
          <t>Notes</t>
        </is>
      </c>
    </row>
    <row r="5">
      <c r="A5" s="8" t="inlineStr">
        <is>
          <t>Yucca Fries (7 units)</t>
        </is>
      </c>
      <c r="B5" s="8" t="inlineStr">
        <is>
          <t>Yuca fries frozen</t>
        </is>
      </c>
      <c r="C5" s="8" t="n">
        <v>8</v>
      </c>
      <c r="D5" s="8" t="inlineStr">
        <is>
          <t>oz</t>
        </is>
      </c>
      <c r="E5" s="12">
        <f>IFERROR(VLOOKUP($B5,'Ingredient Prices'!$A:$I,9,FALSE),0)</f>
        <v/>
      </c>
      <c r="F5" s="9">
        <f>IF(ISNUMBER(E5),C5*E5,0)</f>
        <v/>
      </c>
      <c r="G5" s="11" t="inlineStr">
        <is>
          <t>DRAFT: ~8 oz per order</t>
        </is>
      </c>
    </row>
    <row r="6">
      <c r="A6" s="8" t="inlineStr">
        <is>
          <t>Yucca Fries (7 units)</t>
        </is>
      </c>
      <c r="B6" s="8" t="inlineStr">
        <is>
          <t>Frying shortening (canola liquid)</t>
        </is>
      </c>
      <c r="C6" s="8" t="n">
        <v>1.5</v>
      </c>
      <c r="D6" s="8" t="inlineStr">
        <is>
          <t>oz</t>
        </is>
      </c>
      <c r="E6" s="12">
        <f>IFERROR(VLOOKUP($B6,'Ingredient Prices'!$A:$I,9,FALSE),0)</f>
        <v/>
      </c>
      <c r="F6" s="9">
        <f>IF(ISNUMBER(E6),C6*E6,0)</f>
        <v/>
      </c>
      <c r="G6" s="11" t="inlineStr">
        <is>
          <t>DRAFT: oil absorbed in frying</t>
        </is>
      </c>
    </row>
    <row r="7">
      <c r="A7" s="8" t="inlineStr">
        <is>
          <t>Yucca Fries (7 units)</t>
        </is>
      </c>
      <c r="B7" s="8" t="inlineStr">
        <is>
          <t>Guasacaca sauce (house-made)</t>
        </is>
      </c>
      <c r="C7" s="8" t="n">
        <v>1.5</v>
      </c>
      <c r="D7" s="8" t="inlineStr">
        <is>
          <t>fl oz</t>
        </is>
      </c>
      <c r="E7" s="12">
        <f>IFERROR(VLOOKUP($B7,'Ingredient Prices'!$A:$I,9,FALSE),0)</f>
        <v/>
      </c>
      <c r="F7" s="9">
        <f>IF(ISNUMBER(E7),C7*E7,0)</f>
        <v/>
      </c>
      <c r="G7" s="11" t="inlineStr">
        <is>
          <t>DRAFT: dipping sauce</t>
        </is>
      </c>
    </row>
    <row r="8">
      <c r="A8" s="8" t="inlineStr">
        <is>
          <t>Yucca Fries (7 units)</t>
        </is>
      </c>
      <c r="B8" s="8" t="inlineStr">
        <is>
          <t>To-go container/wrap</t>
        </is>
      </c>
      <c r="C8" s="8" t="n">
        <v>1</v>
      </c>
      <c r="D8" s="8" t="inlineStr">
        <is>
          <t>each</t>
        </is>
      </c>
      <c r="E8" s="12">
        <f>IFERROR(VLOOKUP($B8,'Ingredient Prices'!$A:$I,9,FALSE),0)</f>
        <v/>
      </c>
      <c r="F8" s="9">
        <f>IF(ISNUMBER(E8),C8*E8,0)</f>
        <v/>
      </c>
      <c r="G8" s="11" t="inlineStr"/>
    </row>
    <row r="9">
      <c r="A9" s="8" t="inlineStr">
        <is>
          <t>Plantains and Cheese (7 units)</t>
        </is>
      </c>
      <c r="B9" s="8" t="inlineStr">
        <is>
          <t>Sweet plantain IQF</t>
        </is>
      </c>
      <c r="C9" s="8" t="n">
        <v>8</v>
      </c>
      <c r="D9" s="8" t="inlineStr">
        <is>
          <t>oz</t>
        </is>
      </c>
      <c r="E9" s="12">
        <f>IFERROR(VLOOKUP($B9,'Ingredient Prices'!$A:$I,9,FALSE),0)</f>
        <v/>
      </c>
      <c r="F9" s="9">
        <f>IF(ISNUMBER(E9),C9*E9,0)</f>
        <v/>
      </c>
      <c r="G9" s="11" t="inlineStr">
        <is>
          <t>DRAFT: ~8 oz per order</t>
        </is>
      </c>
    </row>
    <row r="10">
      <c r="A10" s="8" t="inlineStr">
        <is>
          <t>Plantains and Cheese (7 units)</t>
        </is>
      </c>
      <c r="B10" s="8" t="inlineStr">
        <is>
          <t>Queso de Mano</t>
        </is>
      </c>
      <c r="C10" s="8" t="n">
        <v>1.5</v>
      </c>
      <c r="D10" s="8" t="inlineStr">
        <is>
          <t>oz</t>
        </is>
      </c>
      <c r="E10" s="12">
        <f>IFERROR(VLOOKUP($B10,'Ingredient Prices'!$A:$I,9,FALSE),0)</f>
        <v/>
      </c>
      <c r="F10" s="9">
        <f>IF(ISNUMBER(E10),C10*E10,0)</f>
        <v/>
      </c>
      <c r="G10" s="11" t="inlineStr">
        <is>
          <t>DRAFT: white cheese topping</t>
        </is>
      </c>
    </row>
    <row r="11">
      <c r="A11" s="8" t="inlineStr">
        <is>
          <t>Plantains and Cheese (7 units)</t>
        </is>
      </c>
      <c r="B11" s="8" t="inlineStr">
        <is>
          <t>Frying shortening (canola liquid)</t>
        </is>
      </c>
      <c r="C11" s="8" t="n">
        <v>1</v>
      </c>
      <c r="D11" s="8" t="inlineStr">
        <is>
          <t>oz</t>
        </is>
      </c>
      <c r="E11" s="12">
        <f>IFERROR(VLOOKUP($B11,'Ingredient Prices'!$A:$I,9,FALSE),0)</f>
        <v/>
      </c>
      <c r="F11" s="9">
        <f>IF(ISNUMBER(E11),C11*E11,0)</f>
        <v/>
      </c>
      <c r="G11" s="11" t="inlineStr">
        <is>
          <t>DRAFT</t>
        </is>
      </c>
    </row>
    <row r="12">
      <c r="A12" s="8" t="inlineStr">
        <is>
          <t>Plantains and Cheese (7 units)</t>
        </is>
      </c>
      <c r="B12" s="8" t="inlineStr">
        <is>
          <t>To-go container/wrap</t>
        </is>
      </c>
      <c r="C12" s="8" t="n">
        <v>1</v>
      </c>
      <c r="D12" s="8" t="inlineStr">
        <is>
          <t>each</t>
        </is>
      </c>
      <c r="E12" s="12">
        <f>IFERROR(VLOOKUP($B12,'Ingredient Prices'!$A:$I,9,FALSE),0)</f>
        <v/>
      </c>
      <c r="F12" s="9">
        <f>IF(ISNUMBER(E12),C12*E12,0)</f>
        <v/>
      </c>
      <c r="G12" s="11" t="inlineStr"/>
    </row>
    <row r="13">
      <c r="A13" s="8" t="inlineStr">
        <is>
          <t>Tequeños (5 units)</t>
        </is>
      </c>
      <c r="B13" s="8" t="inlineStr">
        <is>
          <t>Tequenos (frozen)</t>
        </is>
      </c>
      <c r="C13" s="8" t="n">
        <v>5</v>
      </c>
      <c r="D13" s="8" t="inlineStr">
        <is>
          <t>each</t>
        </is>
      </c>
      <c r="E13" s="12">
        <f>IFERROR(VLOOKUP($B13,'Ingredient Prices'!$A:$I,9,FALSE),0)</f>
        <v/>
      </c>
      <c r="F13" s="9">
        <f>IF(ISNUMBER(E13),C13*E13,0)</f>
        <v/>
      </c>
      <c r="G13" s="11" t="inlineStr">
        <is>
          <t>5 units per order</t>
        </is>
      </c>
    </row>
    <row r="14">
      <c r="A14" s="8" t="inlineStr">
        <is>
          <t>Tequeños (5 units)</t>
        </is>
      </c>
      <c r="B14" s="8" t="inlineStr">
        <is>
          <t>Frying shortening (canola liquid)</t>
        </is>
      </c>
      <c r="C14" s="8" t="n">
        <v>1</v>
      </c>
      <c r="D14" s="8" t="inlineStr">
        <is>
          <t>oz</t>
        </is>
      </c>
      <c r="E14" s="12">
        <f>IFERROR(VLOOKUP($B14,'Ingredient Prices'!$A:$I,9,FALSE),0)</f>
        <v/>
      </c>
      <c r="F14" s="9">
        <f>IF(ISNUMBER(E14),C14*E14,0)</f>
        <v/>
      </c>
      <c r="G14" s="11" t="inlineStr">
        <is>
          <t>DRAFT: air fried - may be less</t>
        </is>
      </c>
    </row>
    <row r="15">
      <c r="A15" s="8" t="inlineStr">
        <is>
          <t>Tequeños (5 units)</t>
        </is>
      </c>
      <c r="B15" s="8" t="inlineStr">
        <is>
          <t>Guasacaca sauce (house-made)</t>
        </is>
      </c>
      <c r="C15" s="8" t="n">
        <v>1.5</v>
      </c>
      <c r="D15" s="8" t="inlineStr">
        <is>
          <t>fl oz</t>
        </is>
      </c>
      <c r="E15" s="12">
        <f>IFERROR(VLOOKUP($B15,'Ingredient Prices'!$A:$I,9,FALSE),0)</f>
        <v/>
      </c>
      <c r="F15" s="9">
        <f>IF(ISNUMBER(E15),C15*E15,0)</f>
        <v/>
      </c>
      <c r="G15" s="11" t="inlineStr">
        <is>
          <t>DRAFT: dipping sauce</t>
        </is>
      </c>
    </row>
    <row r="16">
      <c r="A16" s="8" t="inlineStr">
        <is>
          <t>Tequeños (5 units)</t>
        </is>
      </c>
      <c r="B16" s="8" t="inlineStr">
        <is>
          <t>To-go container/wrap</t>
        </is>
      </c>
      <c r="C16" s="8" t="n">
        <v>1</v>
      </c>
      <c r="D16" s="8" t="inlineStr">
        <is>
          <t>each</t>
        </is>
      </c>
      <c r="E16" s="12">
        <f>IFERROR(VLOOKUP($B16,'Ingredient Prices'!$A:$I,9,FALSE),0)</f>
        <v/>
      </c>
      <c r="F16" s="9">
        <f>IF(ISNUMBER(E16),C16*E16,0)</f>
        <v/>
      </c>
      <c r="G16" s="11" t="inlineStr"/>
    </row>
    <row r="17">
      <c r="A17" s="8" t="inlineStr">
        <is>
          <t>Empanadas</t>
        </is>
      </c>
      <c r="B17" s="8" t="inlineStr">
        <is>
          <t>Harina P.A.N. (cornmeal)</t>
        </is>
      </c>
      <c r="C17" s="8" t="n">
        <v>2.5</v>
      </c>
      <c r="D17" s="8" t="inlineStr">
        <is>
          <t>oz</t>
        </is>
      </c>
      <c r="E17" s="12">
        <f>IFERROR(VLOOKUP($B17,'Ingredient Prices'!$A:$I,9,FALSE),0)</f>
        <v/>
      </c>
      <c r="F17" s="9">
        <f>IF(ISNUMBER(E17),C17*E17,0)</f>
        <v/>
      </c>
      <c r="G17" s="11" t="inlineStr">
        <is>
          <t>DRAFT: dough per empanada</t>
        </is>
      </c>
    </row>
    <row r="18">
      <c r="A18" s="8" t="inlineStr">
        <is>
          <t>Empanadas</t>
        </is>
      </c>
      <c r="B18" s="8" t="inlineStr">
        <is>
          <t>Beef rib lifter meat (raw)</t>
        </is>
      </c>
      <c r="C18" s="8" t="n">
        <v>1.5</v>
      </c>
      <c r="D18" s="8" t="inlineStr">
        <is>
          <t>oz</t>
        </is>
      </c>
      <c r="E18" s="12">
        <f>IFERROR(VLOOKUP($B18,'Ingredient Prices'!$A:$I,9,FALSE),0)</f>
        <v/>
      </c>
      <c r="F18" s="9">
        <f>IF(ISNUMBER(E18),C18*E18,0)</f>
        <v/>
      </c>
      <c r="G18" s="11" t="inlineStr">
        <is>
          <t>DRAFT: avg filling (beef/chicken/cheese)</t>
        </is>
      </c>
    </row>
    <row r="19">
      <c r="A19" s="8" t="inlineStr">
        <is>
          <t>Empanadas</t>
        </is>
      </c>
      <c r="B19" s="8" t="inlineStr">
        <is>
          <t>Frying shortening (canola liquid)</t>
        </is>
      </c>
      <c r="C19" s="8" t="n">
        <v>1.5</v>
      </c>
      <c r="D19" s="8" t="inlineStr">
        <is>
          <t>oz</t>
        </is>
      </c>
      <c r="E19" s="12">
        <f>IFERROR(VLOOKUP($B19,'Ingredient Prices'!$A:$I,9,FALSE),0)</f>
        <v/>
      </c>
      <c r="F19" s="9">
        <f>IF(ISNUMBER(E19),C19*E19,0)</f>
        <v/>
      </c>
      <c r="G19" s="11" t="inlineStr">
        <is>
          <t>DRAFT</t>
        </is>
      </c>
    </row>
    <row r="20">
      <c r="A20" s="8" t="inlineStr">
        <is>
          <t>Empanadas</t>
        </is>
      </c>
      <c r="B20" s="8" t="inlineStr">
        <is>
          <t>To-go container/wrap</t>
        </is>
      </c>
      <c r="C20" s="8" t="n">
        <v>0.5</v>
      </c>
      <c r="D20" s="8" t="inlineStr">
        <is>
          <t>each</t>
        </is>
      </c>
      <c r="E20" s="12">
        <f>IFERROR(VLOOKUP($B20,'Ingredient Prices'!$A:$I,9,FALSE),0)</f>
        <v/>
      </c>
      <c r="F20" s="9">
        <f>IF(ISNUMBER(E20),C20*E20,0)</f>
        <v/>
      </c>
      <c r="G20" s="11" t="inlineStr">
        <is>
          <t>DRAFT: shared packaging</t>
        </is>
      </c>
    </row>
    <row r="21">
      <c r="A21" s="8" t="inlineStr">
        <is>
          <t>Pastelitos</t>
        </is>
      </c>
      <c r="B21" s="8" t="inlineStr">
        <is>
          <t>Harina P.A.N. (cornmeal)</t>
        </is>
      </c>
      <c r="C21" s="8" t="n">
        <v>2.5</v>
      </c>
      <c r="D21" s="8" t="inlineStr">
        <is>
          <t>oz</t>
        </is>
      </c>
      <c r="E21" s="12">
        <f>IFERROR(VLOOKUP($B21,'Ingredient Prices'!$A:$I,9,FALSE),0)</f>
        <v/>
      </c>
      <c r="F21" s="9">
        <f>IF(ISNUMBER(E21),C21*E21,0)</f>
        <v/>
      </c>
      <c r="G21" s="11" t="inlineStr">
        <is>
          <t>DRAFT: dough</t>
        </is>
      </c>
    </row>
    <row r="22">
      <c r="A22" s="8" t="inlineStr">
        <is>
          <t>Pastelitos</t>
        </is>
      </c>
      <c r="B22" s="8" t="inlineStr">
        <is>
          <t>Ham</t>
        </is>
      </c>
      <c r="C22" s="8" t="n">
        <v>1</v>
      </c>
      <c r="D22" s="8" t="inlineStr">
        <is>
          <t>oz</t>
        </is>
      </c>
      <c r="E22" s="12">
        <f>IFERROR(VLOOKUP($B22,'Ingredient Prices'!$A:$I,9,FALSE),0)</f>
        <v/>
      </c>
      <c r="F22" s="9">
        <f>IF(ISNUMBER(E22),C22*E22,0)</f>
        <v/>
      </c>
      <c r="G22" s="11" t="inlineStr">
        <is>
          <t>DRAFT: ham &amp; cheese filling</t>
        </is>
      </c>
    </row>
    <row r="23">
      <c r="A23" s="8" t="inlineStr">
        <is>
          <t>Pastelitos</t>
        </is>
      </c>
      <c r="B23" s="8" t="inlineStr">
        <is>
          <t>White cheese (mozzarella/llanero)</t>
        </is>
      </c>
      <c r="C23" s="8" t="n">
        <v>1</v>
      </c>
      <c r="D23" s="8" t="inlineStr">
        <is>
          <t>oz</t>
        </is>
      </c>
      <c r="E23" s="12">
        <f>IFERROR(VLOOKUP($B23,'Ingredient Prices'!$A:$I,9,FALSE),0)</f>
        <v/>
      </c>
      <c r="F23" s="9">
        <f>IF(ISNUMBER(E23),C23*E23,0)</f>
        <v/>
      </c>
      <c r="G23" s="11" t="inlineStr">
        <is>
          <t>DRAFT</t>
        </is>
      </c>
    </row>
    <row r="24">
      <c r="A24" s="8" t="inlineStr">
        <is>
          <t>Pastelitos</t>
        </is>
      </c>
      <c r="B24" s="8" t="inlineStr">
        <is>
          <t>Frying shortening (canola liquid)</t>
        </is>
      </c>
      <c r="C24" s="8" t="n">
        <v>1.5</v>
      </c>
      <c r="D24" s="8" t="inlineStr">
        <is>
          <t>oz</t>
        </is>
      </c>
      <c r="E24" s="12">
        <f>IFERROR(VLOOKUP($B24,'Ingredient Prices'!$A:$I,9,FALSE),0)</f>
        <v/>
      </c>
      <c r="F24" s="9">
        <f>IF(ISNUMBER(E24),C24*E24,0)</f>
        <v/>
      </c>
      <c r="G24" s="11" t="inlineStr">
        <is>
          <t>DRAFT</t>
        </is>
      </c>
    </row>
    <row r="25">
      <c r="A25" s="8" t="inlineStr">
        <is>
          <t>Pastelitos</t>
        </is>
      </c>
      <c r="B25" s="8" t="inlineStr">
        <is>
          <t>To-go container/wrap</t>
        </is>
      </c>
      <c r="C25" s="8" t="n">
        <v>0.5</v>
      </c>
      <c r="D25" s="8" t="inlineStr">
        <is>
          <t>each</t>
        </is>
      </c>
      <c r="E25" s="12">
        <f>IFERROR(VLOOKUP($B25,'Ingredient Prices'!$A:$I,9,FALSE),0)</f>
        <v/>
      </c>
      <c r="F25" s="9">
        <f>IF(ISNUMBER(E25),C25*E25,0)</f>
        <v/>
      </c>
      <c r="G25" s="11" t="inlineStr">
        <is>
          <t>DRAFT: shared packaging</t>
        </is>
      </c>
    </row>
    <row r="26">
      <c r="A26" s="8" t="inlineStr">
        <is>
          <t>Arepa Cheese</t>
        </is>
      </c>
      <c r="B26" s="8" t="inlineStr">
        <is>
          <t>Harina P.A.N. (cornmeal)</t>
        </is>
      </c>
      <c r="C26" s="8" t="n">
        <v>3</v>
      </c>
      <c r="D26" s="8" t="inlineStr">
        <is>
          <t>oz</t>
        </is>
      </c>
      <c r="E26" s="12">
        <f>IFERROR(VLOOKUP($B26,'Ingredient Prices'!$A:$I,9,FALSE),0)</f>
        <v/>
      </c>
      <c r="F26" s="9">
        <f>IF(ISNUMBER(E26),C26*E26,0)</f>
        <v/>
      </c>
      <c r="G26" s="11" t="inlineStr">
        <is>
          <t>DRAFT: arepa shell</t>
        </is>
      </c>
    </row>
    <row r="27">
      <c r="A27" s="8" t="inlineStr">
        <is>
          <t>Arepa Cheese</t>
        </is>
      </c>
      <c r="B27" s="8" t="inlineStr">
        <is>
          <t>Queso de Mano</t>
        </is>
      </c>
      <c r="C27" s="8" t="n">
        <v>2.5</v>
      </c>
      <c r="D27" s="8" t="inlineStr">
        <is>
          <t>oz</t>
        </is>
      </c>
      <c r="E27" s="12">
        <f>IFERROR(VLOOKUP($B27,'Ingredient Prices'!$A:$I,9,FALSE),0)</f>
        <v/>
      </c>
      <c r="F27" s="9">
        <f>IF(ISNUMBER(E27),C27*E27,0)</f>
        <v/>
      </c>
      <c r="G27" s="11" t="inlineStr">
        <is>
          <t>DRAFT: thick melted cheese</t>
        </is>
      </c>
    </row>
    <row r="28">
      <c r="A28" s="8" t="inlineStr">
        <is>
          <t>Arepa Cheese</t>
        </is>
      </c>
      <c r="B28" s="8" t="inlineStr">
        <is>
          <t>Butter</t>
        </is>
      </c>
      <c r="C28" s="8" t="n">
        <v>0.3</v>
      </c>
      <c r="D28" s="8" t="inlineStr">
        <is>
          <t>oz</t>
        </is>
      </c>
      <c r="E28" s="12">
        <f>IFERROR(VLOOKUP($B28,'Ingredient Prices'!$A:$I,9,FALSE),0)</f>
        <v/>
      </c>
      <c r="F28" s="9">
        <f>IF(ISNUMBER(E28),C28*E28,0)</f>
        <v/>
      </c>
      <c r="G28" s="11" t="inlineStr">
        <is>
          <t>DRAFT</t>
        </is>
      </c>
    </row>
    <row r="29">
      <c r="A29" s="8" t="inlineStr">
        <is>
          <t>Arepa Cheese</t>
        </is>
      </c>
      <c r="B29" s="8" t="inlineStr">
        <is>
          <t>Guasacaca sauce (house-made)</t>
        </is>
      </c>
      <c r="C29" s="8" t="n">
        <v>1</v>
      </c>
      <c r="D29" s="8" t="inlineStr">
        <is>
          <t>fl oz</t>
        </is>
      </c>
      <c r="E29" s="12">
        <f>IFERROR(VLOOKUP($B29,'Ingredient Prices'!$A:$I,9,FALSE),0)</f>
        <v/>
      </c>
      <c r="F29" s="9">
        <f>IF(ISNUMBER(E29),C29*E29,0)</f>
        <v/>
      </c>
      <c r="G29" s="11" t="inlineStr">
        <is>
          <t>DRAFT</t>
        </is>
      </c>
    </row>
    <row r="30">
      <c r="A30" s="8" t="inlineStr">
        <is>
          <t>Arepa Cheese</t>
        </is>
      </c>
      <c r="B30" s="8" t="inlineStr">
        <is>
          <t>To-go container/wrap</t>
        </is>
      </c>
      <c r="C30" s="8" t="n">
        <v>1</v>
      </c>
      <c r="D30" s="8" t="inlineStr">
        <is>
          <t>each</t>
        </is>
      </c>
      <c r="E30" s="12">
        <f>IFERROR(VLOOKUP($B30,'Ingredient Prices'!$A:$I,9,FALSE),0)</f>
        <v/>
      </c>
      <c r="F30" s="9">
        <f>IF(ISNUMBER(E30),C30*E30,0)</f>
        <v/>
      </c>
      <c r="G30" s="11" t="inlineStr"/>
    </row>
    <row r="31">
      <c r="A31" s="8" t="inlineStr">
        <is>
          <t>Arepa Domino</t>
        </is>
      </c>
      <c r="B31" s="8" t="inlineStr">
        <is>
          <t>Harina P.A.N. (cornmeal)</t>
        </is>
      </c>
      <c r="C31" s="8" t="n">
        <v>3</v>
      </c>
      <c r="D31" s="8" t="inlineStr">
        <is>
          <t>oz</t>
        </is>
      </c>
      <c r="E31" s="12">
        <f>IFERROR(VLOOKUP($B31,'Ingredient Prices'!$A:$I,9,FALSE),0)</f>
        <v/>
      </c>
      <c r="F31" s="9">
        <f>IF(ISNUMBER(E31),C31*E31,0)</f>
        <v/>
      </c>
      <c r="G31" s="11" t="inlineStr">
        <is>
          <t>DRAFT: arepa shell</t>
        </is>
      </c>
    </row>
    <row r="32">
      <c r="A32" s="8" t="inlineStr">
        <is>
          <t>Arepa Domino</t>
        </is>
      </c>
      <c r="B32" s="8" t="inlineStr">
        <is>
          <t>Black beans (cooked)</t>
        </is>
      </c>
      <c r="C32" s="8" t="n">
        <v>3</v>
      </c>
      <c r="D32" s="8" t="inlineStr">
        <is>
          <t>oz</t>
        </is>
      </c>
      <c r="E32" s="12">
        <f>IFERROR(VLOOKUP($B32,'Ingredient Prices'!$A:$I,9,FALSE),0)</f>
        <v/>
      </c>
      <c r="F32" s="9">
        <f>IF(ISNUMBER(E32),C32*E32,0)</f>
        <v/>
      </c>
      <c r="G32" s="11" t="inlineStr">
        <is>
          <t>DRAFT</t>
        </is>
      </c>
    </row>
    <row r="33">
      <c r="A33" s="8" t="inlineStr">
        <is>
          <t>Arepa Domino</t>
        </is>
      </c>
      <c r="B33" s="8" t="inlineStr">
        <is>
          <t>Cotija cheese</t>
        </is>
      </c>
      <c r="C33" s="8" t="n">
        <v>1</v>
      </c>
      <c r="D33" s="8" t="inlineStr">
        <is>
          <t>oz</t>
        </is>
      </c>
      <c r="E33" s="12">
        <f>IFERROR(VLOOKUP($B33,'Ingredient Prices'!$A:$I,9,FALSE),0)</f>
        <v/>
      </c>
      <c r="F33" s="9">
        <f>IF(ISNUMBER(E33),C33*E33,0)</f>
        <v/>
      </c>
      <c r="G33" s="11" t="inlineStr">
        <is>
          <t>DRAFT</t>
        </is>
      </c>
    </row>
    <row r="34">
      <c r="A34" s="8" t="inlineStr">
        <is>
          <t>Arepa Domino</t>
        </is>
      </c>
      <c r="B34" s="8" t="inlineStr">
        <is>
          <t>Guasacaca sauce (house-made)</t>
        </is>
      </c>
      <c r="C34" s="8" t="n">
        <v>1</v>
      </c>
      <c r="D34" s="8" t="inlineStr">
        <is>
          <t>fl oz</t>
        </is>
      </c>
      <c r="E34" s="12">
        <f>IFERROR(VLOOKUP($B34,'Ingredient Prices'!$A:$I,9,FALSE),0)</f>
        <v/>
      </c>
      <c r="F34" s="9">
        <f>IF(ISNUMBER(E34),C34*E34,0)</f>
        <v/>
      </c>
      <c r="G34" s="11" t="inlineStr">
        <is>
          <t>DRAFT</t>
        </is>
      </c>
    </row>
    <row r="35">
      <c r="A35" s="8" t="inlineStr">
        <is>
          <t>Arepa Domino</t>
        </is>
      </c>
      <c r="B35" s="8" t="inlineStr">
        <is>
          <t>To-go container/wrap</t>
        </is>
      </c>
      <c r="C35" s="8" t="n">
        <v>1</v>
      </c>
      <c r="D35" s="8" t="inlineStr">
        <is>
          <t>each</t>
        </is>
      </c>
      <c r="E35" s="12">
        <f>IFERROR(VLOOKUP($B35,'Ingredient Prices'!$A:$I,9,FALSE),0)</f>
        <v/>
      </c>
      <c r="F35" s="9">
        <f>IF(ISNUMBER(E35),C35*E35,0)</f>
        <v/>
      </c>
      <c r="G35" s="11" t="inlineStr"/>
    </row>
    <row r="36">
      <c r="A36" s="8" t="inlineStr">
        <is>
          <t>Arepa Chicken</t>
        </is>
      </c>
      <c r="B36" s="8" t="inlineStr">
        <is>
          <t>Harina P.A.N. (cornmeal)</t>
        </is>
      </c>
      <c r="C36" s="8" t="n">
        <v>3</v>
      </c>
      <c r="D36" s="8" t="inlineStr">
        <is>
          <t>oz</t>
        </is>
      </c>
      <c r="E36" s="12">
        <f>IFERROR(VLOOKUP($B36,'Ingredient Prices'!$A:$I,9,FALSE),0)</f>
        <v/>
      </c>
      <c r="F36" s="9">
        <f>IF(ISNUMBER(E36),C36*E36,0)</f>
        <v/>
      </c>
      <c r="G36" s="11" t="inlineStr">
        <is>
          <t>DRAFT: arepa shell</t>
        </is>
      </c>
    </row>
    <row r="37">
      <c r="A37" s="8" t="inlineStr">
        <is>
          <t>Arepa Chicken</t>
        </is>
      </c>
      <c r="B37" s="8" t="inlineStr">
        <is>
          <t>Chicken breast jumbo (raw)</t>
        </is>
      </c>
      <c r="C37" s="8" t="n">
        <v>4.5</v>
      </c>
      <c r="D37" s="8" t="inlineStr">
        <is>
          <t>oz</t>
        </is>
      </c>
      <c r="E37" s="12">
        <f>IFERROR(VLOOKUP($B37,'Ingredient Prices'!$A:$I,9,FALSE),0)</f>
        <v/>
      </c>
      <c r="F37" s="9">
        <f>IF(ISNUMBER(E37),C37*E37,0)</f>
        <v/>
      </c>
      <c r="G37" s="11" t="inlineStr">
        <is>
          <t>DRAFT: raw wt for ~3.5 oz cooked shredded</t>
        </is>
      </c>
    </row>
    <row r="38">
      <c r="A38" s="8" t="inlineStr">
        <is>
          <t>Arepa Chicken</t>
        </is>
      </c>
      <c r="B38" s="8" t="inlineStr">
        <is>
          <t>Sweet plantain IQF</t>
        </is>
      </c>
      <c r="C38" s="8" t="n">
        <v>2</v>
      </c>
      <c r="D38" s="8" t="inlineStr">
        <is>
          <t>oz</t>
        </is>
      </c>
      <c r="E38" s="12">
        <f>IFERROR(VLOOKUP($B38,'Ingredient Prices'!$A:$I,9,FALSE),0)</f>
        <v/>
      </c>
      <c r="F38" s="9">
        <f>IF(ISNUMBER(E38),C38*E38,0)</f>
        <v/>
      </c>
      <c r="G38" s="11" t="inlineStr">
        <is>
          <t>DRAFT</t>
        </is>
      </c>
    </row>
    <row r="39">
      <c r="A39" s="8" t="inlineStr">
        <is>
          <t>Arepa Chicken</t>
        </is>
      </c>
      <c r="B39" s="8" t="inlineStr">
        <is>
          <t>Cheddar shredded</t>
        </is>
      </c>
      <c r="C39" s="8" t="n">
        <v>1</v>
      </c>
      <c r="D39" s="8" t="inlineStr">
        <is>
          <t>oz</t>
        </is>
      </c>
      <c r="E39" s="12">
        <f>IFERROR(VLOOKUP($B39,'Ingredient Prices'!$A:$I,9,FALSE),0)</f>
        <v/>
      </c>
      <c r="F39" s="9">
        <f>IF(ISNUMBER(E39),C39*E39,0)</f>
        <v/>
      </c>
      <c r="G39" s="11" t="inlineStr">
        <is>
          <t>DRAFT</t>
        </is>
      </c>
    </row>
    <row r="40">
      <c r="A40" s="8" t="inlineStr">
        <is>
          <t>Arepa Chicken</t>
        </is>
      </c>
      <c r="B40" s="8" t="inlineStr">
        <is>
          <t>Guasacaca sauce (house-made)</t>
        </is>
      </c>
      <c r="C40" s="8" t="n">
        <v>1</v>
      </c>
      <c r="D40" s="8" t="inlineStr">
        <is>
          <t>fl oz</t>
        </is>
      </c>
      <c r="E40" s="12">
        <f>IFERROR(VLOOKUP($B40,'Ingredient Prices'!$A:$I,9,FALSE),0)</f>
        <v/>
      </c>
      <c r="F40" s="9">
        <f>IF(ISNUMBER(E40),C40*E40,0)</f>
        <v/>
      </c>
      <c r="G40" s="11" t="inlineStr">
        <is>
          <t>DRAFT</t>
        </is>
      </c>
    </row>
    <row r="41">
      <c r="A41" s="8" t="inlineStr">
        <is>
          <t>Arepa Chicken</t>
        </is>
      </c>
      <c r="B41" s="8" t="inlineStr">
        <is>
          <t>To-go container/wrap</t>
        </is>
      </c>
      <c r="C41" s="8" t="n">
        <v>1</v>
      </c>
      <c r="D41" s="8" t="inlineStr">
        <is>
          <t>each</t>
        </is>
      </c>
      <c r="E41" s="12">
        <f>IFERROR(VLOOKUP($B41,'Ingredient Prices'!$A:$I,9,FALSE),0)</f>
        <v/>
      </c>
      <c r="F41" s="9">
        <f>IF(ISNUMBER(E41),C41*E41,0)</f>
        <v/>
      </c>
      <c r="G41" s="11" t="inlineStr"/>
    </row>
    <row r="42">
      <c r="A42" s="8" t="inlineStr">
        <is>
          <t>Arepa Pabellon</t>
        </is>
      </c>
      <c r="B42" s="8" t="inlineStr">
        <is>
          <t>Harina P.A.N. (cornmeal)</t>
        </is>
      </c>
      <c r="C42" s="8" t="n">
        <v>3</v>
      </c>
      <c r="D42" s="8" t="inlineStr">
        <is>
          <t>oz</t>
        </is>
      </c>
      <c r="E42" s="12">
        <f>IFERROR(VLOOKUP($B42,'Ingredient Prices'!$A:$I,9,FALSE),0)</f>
        <v/>
      </c>
      <c r="F42" s="9">
        <f>IF(ISNUMBER(E42),C42*E42,0)</f>
        <v/>
      </c>
      <c r="G42" s="11" t="inlineStr">
        <is>
          <t>DRAFT: arepa shell</t>
        </is>
      </c>
    </row>
    <row r="43">
      <c r="A43" s="8" t="inlineStr">
        <is>
          <t>Arepa Pabellon</t>
        </is>
      </c>
      <c r="B43" s="8" t="inlineStr">
        <is>
          <t>Beef rib lifter meat (raw)</t>
        </is>
      </c>
      <c r="C43" s="8" t="n">
        <v>3.5</v>
      </c>
      <c r="D43" s="8" t="inlineStr">
        <is>
          <t>oz</t>
        </is>
      </c>
      <c r="E43" s="12">
        <f>IFERROR(VLOOKUP($B43,'Ingredient Prices'!$A:$I,9,FALSE),0)</f>
        <v/>
      </c>
      <c r="F43" s="9">
        <f>IF(ISNUMBER(E43),C43*E43,0)</f>
        <v/>
      </c>
      <c r="G43" s="11" t="inlineStr">
        <is>
          <t>DRAFT: raw wt for shredded beef</t>
        </is>
      </c>
    </row>
    <row r="44">
      <c r="A44" s="8" t="inlineStr">
        <is>
          <t>Arepa Pabellon</t>
        </is>
      </c>
      <c r="B44" s="8" t="inlineStr">
        <is>
          <t>Black beans (cooked)</t>
        </is>
      </c>
      <c r="C44" s="8" t="n">
        <v>2.5</v>
      </c>
      <c r="D44" s="8" t="inlineStr">
        <is>
          <t>oz</t>
        </is>
      </c>
      <c r="E44" s="12">
        <f>IFERROR(VLOOKUP($B44,'Ingredient Prices'!$A:$I,9,FALSE),0)</f>
        <v/>
      </c>
      <c r="F44" s="9">
        <f>IF(ISNUMBER(E44),C44*E44,0)</f>
        <v/>
      </c>
      <c r="G44" s="11" t="inlineStr">
        <is>
          <t>DRAFT</t>
        </is>
      </c>
    </row>
    <row r="45">
      <c r="A45" s="8" t="inlineStr">
        <is>
          <t>Arepa Pabellon</t>
        </is>
      </c>
      <c r="B45" s="8" t="inlineStr">
        <is>
          <t>Sweet plantain IQF</t>
        </is>
      </c>
      <c r="C45" s="8" t="n">
        <v>2</v>
      </c>
      <c r="D45" s="8" t="inlineStr">
        <is>
          <t>oz</t>
        </is>
      </c>
      <c r="E45" s="12">
        <f>IFERROR(VLOOKUP($B45,'Ingredient Prices'!$A:$I,9,FALSE),0)</f>
        <v/>
      </c>
      <c r="F45" s="9">
        <f>IF(ISNUMBER(E45),C45*E45,0)</f>
        <v/>
      </c>
      <c r="G45" s="11" t="inlineStr">
        <is>
          <t>DRAFT</t>
        </is>
      </c>
    </row>
    <row r="46">
      <c r="A46" s="8" t="inlineStr">
        <is>
          <t>Arepa Pabellon</t>
        </is>
      </c>
      <c r="B46" s="8" t="inlineStr">
        <is>
          <t>Avocado (#48 case)</t>
        </is>
      </c>
      <c r="C46" s="8" t="n">
        <v>0.25</v>
      </c>
      <c r="D46" s="8" t="inlineStr">
        <is>
          <t>each</t>
        </is>
      </c>
      <c r="E46" s="12">
        <f>IFERROR(VLOOKUP($B46,'Ingredient Prices'!$A:$I,9,FALSE),0)</f>
        <v/>
      </c>
      <c r="F46" s="9">
        <f>IF(ISNUMBER(E46),C46*E46,0)</f>
        <v/>
      </c>
      <c r="G46" s="11" t="inlineStr">
        <is>
          <t>DRAFT: 1/4 avocado</t>
        </is>
      </c>
    </row>
    <row r="47">
      <c r="A47" s="8" t="inlineStr">
        <is>
          <t>Arepa Pabellon</t>
        </is>
      </c>
      <c r="B47" s="8" t="inlineStr">
        <is>
          <t>Queso de Mano</t>
        </is>
      </c>
      <c r="C47" s="8" t="n">
        <v>1</v>
      </c>
      <c r="D47" s="8" t="inlineStr">
        <is>
          <t>oz</t>
        </is>
      </c>
      <c r="E47" s="12">
        <f>IFERROR(VLOOKUP($B47,'Ingredient Prices'!$A:$I,9,FALSE),0)</f>
        <v/>
      </c>
      <c r="F47" s="9">
        <f>IF(ISNUMBER(E47),C47*E47,0)</f>
        <v/>
      </c>
      <c r="G47" s="11" t="inlineStr">
        <is>
          <t>DRAFT</t>
        </is>
      </c>
    </row>
    <row r="48">
      <c r="A48" s="8" t="inlineStr">
        <is>
          <t>Arepa Pabellon</t>
        </is>
      </c>
      <c r="B48" s="8" t="inlineStr">
        <is>
          <t>Guasacaca sauce (house-made)</t>
        </is>
      </c>
      <c r="C48" s="8" t="n">
        <v>1</v>
      </c>
      <c r="D48" s="8" t="inlineStr">
        <is>
          <t>fl oz</t>
        </is>
      </c>
      <c r="E48" s="12">
        <f>IFERROR(VLOOKUP($B48,'Ingredient Prices'!$A:$I,9,FALSE),0)</f>
        <v/>
      </c>
      <c r="F48" s="9">
        <f>IF(ISNUMBER(E48),C48*E48,0)</f>
        <v/>
      </c>
      <c r="G48" s="11" t="inlineStr">
        <is>
          <t>DRAFT</t>
        </is>
      </c>
    </row>
    <row r="49">
      <c r="A49" s="8" t="inlineStr">
        <is>
          <t>Arepa Pabellon</t>
        </is>
      </c>
      <c r="B49" s="8" t="inlineStr">
        <is>
          <t>To-go container/wrap</t>
        </is>
      </c>
      <c r="C49" s="8" t="n">
        <v>1</v>
      </c>
      <c r="D49" s="8" t="inlineStr">
        <is>
          <t>each</t>
        </is>
      </c>
      <c r="E49" s="12">
        <f>IFERROR(VLOOKUP($B49,'Ingredient Prices'!$A:$I,9,FALSE),0)</f>
        <v/>
      </c>
      <c r="F49" s="9">
        <f>IF(ISNUMBER(E49),C49*E49,0)</f>
        <v/>
      </c>
      <c r="G49" s="11" t="inlineStr"/>
    </row>
    <row r="50">
      <c r="A50" s="8" t="inlineStr">
        <is>
          <t>Arepas Vegetarian</t>
        </is>
      </c>
      <c r="B50" s="8" t="inlineStr">
        <is>
          <t>Harina P.A.N. (cornmeal)</t>
        </is>
      </c>
      <c r="C50" s="8" t="n">
        <v>3</v>
      </c>
      <c r="D50" s="8" t="inlineStr">
        <is>
          <t>oz</t>
        </is>
      </c>
      <c r="E50" s="12">
        <f>IFERROR(VLOOKUP($B50,'Ingredient Prices'!$A:$I,9,FALSE),0)</f>
        <v/>
      </c>
      <c r="F50" s="9">
        <f>IF(ISNUMBER(E50),C50*E50,0)</f>
        <v/>
      </c>
      <c r="G50" s="11" t="inlineStr">
        <is>
          <t>DRAFT: arepa shell</t>
        </is>
      </c>
    </row>
    <row r="51">
      <c r="A51" s="8" t="inlineStr">
        <is>
          <t>Arepas Vegetarian</t>
        </is>
      </c>
      <c r="B51" s="8" t="inlineStr">
        <is>
          <t>Black beans (cooked)</t>
        </is>
      </c>
      <c r="C51" s="8" t="n">
        <v>2.5</v>
      </c>
      <c r="D51" s="8" t="inlineStr">
        <is>
          <t>oz</t>
        </is>
      </c>
      <c r="E51" s="12">
        <f>IFERROR(VLOOKUP($B51,'Ingredient Prices'!$A:$I,9,FALSE),0)</f>
        <v/>
      </c>
      <c r="F51" s="9">
        <f>IF(ISNUMBER(E51),C51*E51,0)</f>
        <v/>
      </c>
      <c r="G51" s="11" t="inlineStr">
        <is>
          <t>DRAFT</t>
        </is>
      </c>
    </row>
    <row r="52">
      <c r="A52" s="8" t="inlineStr">
        <is>
          <t>Arepas Vegetarian</t>
        </is>
      </c>
      <c r="B52" s="8" t="inlineStr">
        <is>
          <t>Avocado (#48 case)</t>
        </is>
      </c>
      <c r="C52" s="8" t="n">
        <v>0.33</v>
      </c>
      <c r="D52" s="8" t="inlineStr">
        <is>
          <t>each</t>
        </is>
      </c>
      <c r="E52" s="12">
        <f>IFERROR(VLOOKUP($B52,'Ingredient Prices'!$A:$I,9,FALSE),0)</f>
        <v/>
      </c>
      <c r="F52" s="9">
        <f>IF(ISNUMBER(E52),C52*E52,0)</f>
        <v/>
      </c>
      <c r="G52" s="11" t="inlineStr">
        <is>
          <t>DRAFT: 1/3 avocado</t>
        </is>
      </c>
    </row>
    <row r="53">
      <c r="A53" s="8" t="inlineStr">
        <is>
          <t>Arepas Vegetarian</t>
        </is>
      </c>
      <c r="B53" s="8" t="inlineStr">
        <is>
          <t>Sweet plantain IQF</t>
        </is>
      </c>
      <c r="C53" s="8" t="n">
        <v>2</v>
      </c>
      <c r="D53" s="8" t="inlineStr">
        <is>
          <t>oz</t>
        </is>
      </c>
      <c r="E53" s="12">
        <f>IFERROR(VLOOKUP($B53,'Ingredient Prices'!$A:$I,9,FALSE),0)</f>
        <v/>
      </c>
      <c r="F53" s="9">
        <f>IF(ISNUMBER(E53),C53*E53,0)</f>
        <v/>
      </c>
      <c r="G53" s="11" t="inlineStr">
        <is>
          <t>DRAFT</t>
        </is>
      </c>
    </row>
    <row r="54">
      <c r="A54" s="8" t="inlineStr">
        <is>
          <t>Arepas Vegetarian</t>
        </is>
      </c>
      <c r="B54" s="8" t="inlineStr">
        <is>
          <t>Tomato</t>
        </is>
      </c>
      <c r="C54" s="8" t="n">
        <v>1</v>
      </c>
      <c r="D54" s="8" t="inlineStr">
        <is>
          <t>oz</t>
        </is>
      </c>
      <c r="E54" s="12">
        <f>IFERROR(VLOOKUP($B54,'Ingredient Prices'!$A:$I,9,FALSE),0)</f>
        <v/>
      </c>
      <c r="F54" s="9">
        <f>IF(ISNUMBER(E54),C54*E54,0)</f>
        <v/>
      </c>
      <c r="G54" s="11" t="inlineStr">
        <is>
          <t>DRAFT</t>
        </is>
      </c>
    </row>
    <row r="55">
      <c r="A55" s="8" t="inlineStr">
        <is>
          <t>Arepas Vegetarian</t>
        </is>
      </c>
      <c r="B55" s="8" t="inlineStr">
        <is>
          <t>Lettuce</t>
        </is>
      </c>
      <c r="C55" s="8" t="n">
        <v>0.1</v>
      </c>
      <c r="D55" s="8" t="inlineStr">
        <is>
          <t>each</t>
        </is>
      </c>
      <c r="E55" s="12">
        <f>IFERROR(VLOOKUP($B55,'Ingredient Prices'!$A:$I,9,FALSE),0)</f>
        <v/>
      </c>
      <c r="F55" s="9">
        <f>IF(ISNUMBER(E55),C55*E55,0)</f>
        <v/>
      </c>
      <c r="G55" s="11" t="inlineStr">
        <is>
          <t>DRAFT: 1/10 head</t>
        </is>
      </c>
    </row>
    <row r="56">
      <c r="A56" s="8" t="inlineStr">
        <is>
          <t>Arepas Vegetarian</t>
        </is>
      </c>
      <c r="B56" s="8" t="inlineStr">
        <is>
          <t>Queso de Mano</t>
        </is>
      </c>
      <c r="C56" s="8" t="n">
        <v>1</v>
      </c>
      <c r="D56" s="8" t="inlineStr">
        <is>
          <t>oz</t>
        </is>
      </c>
      <c r="E56" s="12">
        <f>IFERROR(VLOOKUP($B56,'Ingredient Prices'!$A:$I,9,FALSE),0)</f>
        <v/>
      </c>
      <c r="F56" s="9">
        <f>IF(ISNUMBER(E56),C56*E56,0)</f>
        <v/>
      </c>
      <c r="G56" s="11" t="inlineStr">
        <is>
          <t>DRAFT</t>
        </is>
      </c>
    </row>
    <row r="57">
      <c r="A57" s="8" t="inlineStr">
        <is>
          <t>Arepas Vegetarian</t>
        </is>
      </c>
      <c r="B57" s="8" t="inlineStr">
        <is>
          <t>Guasacaca sauce (house-made)</t>
        </is>
      </c>
      <c r="C57" s="8" t="n">
        <v>1</v>
      </c>
      <c r="D57" s="8" t="inlineStr">
        <is>
          <t>fl oz</t>
        </is>
      </c>
      <c r="E57" s="12">
        <f>IFERROR(VLOOKUP($B57,'Ingredient Prices'!$A:$I,9,FALSE),0)</f>
        <v/>
      </c>
      <c r="F57" s="9">
        <f>IF(ISNUMBER(E57),C57*E57,0)</f>
        <v/>
      </c>
      <c r="G57" s="11" t="inlineStr">
        <is>
          <t>DRAFT</t>
        </is>
      </c>
    </row>
    <row r="58">
      <c r="A58" s="8" t="inlineStr">
        <is>
          <t>Arepas Vegetarian</t>
        </is>
      </c>
      <c r="B58" s="8" t="inlineStr">
        <is>
          <t>To-go container/wrap</t>
        </is>
      </c>
      <c r="C58" s="8" t="n">
        <v>1</v>
      </c>
      <c r="D58" s="8" t="inlineStr">
        <is>
          <t>each</t>
        </is>
      </c>
      <c r="E58" s="12">
        <f>IFERROR(VLOOKUP($B58,'Ingredient Prices'!$A:$I,9,FALSE),0)</f>
        <v/>
      </c>
      <c r="F58" s="9">
        <f>IF(ISNUMBER(E58),C58*E58,0)</f>
        <v/>
      </c>
      <c r="G58" s="11" t="inlineStr"/>
    </row>
    <row r="59">
      <c r="A59" s="8" t="inlineStr">
        <is>
          <t>Arepa Vegan</t>
        </is>
      </c>
      <c r="B59" s="8" t="inlineStr">
        <is>
          <t>Harina P.A.N. (cornmeal)</t>
        </is>
      </c>
      <c r="C59" s="8" t="n">
        <v>3</v>
      </c>
      <c r="D59" s="8" t="inlineStr">
        <is>
          <t>oz</t>
        </is>
      </c>
      <c r="E59" s="12">
        <f>IFERROR(VLOOKUP($B59,'Ingredient Prices'!$A:$I,9,FALSE),0)</f>
        <v/>
      </c>
      <c r="F59" s="9">
        <f>IF(ISNUMBER(E59),C59*E59,0)</f>
        <v/>
      </c>
      <c r="G59" s="11" t="inlineStr">
        <is>
          <t>DRAFT: arepa shell</t>
        </is>
      </c>
    </row>
    <row r="60">
      <c r="A60" s="8" t="inlineStr">
        <is>
          <t>Arepa Vegan</t>
        </is>
      </c>
      <c r="B60" s="8" t="inlineStr">
        <is>
          <t>Black beans (cooked)</t>
        </is>
      </c>
      <c r="C60" s="8" t="n">
        <v>2.5</v>
      </c>
      <c r="D60" s="8" t="inlineStr">
        <is>
          <t>oz</t>
        </is>
      </c>
      <c r="E60" s="12">
        <f>IFERROR(VLOOKUP($B60,'Ingredient Prices'!$A:$I,9,FALSE),0)</f>
        <v/>
      </c>
      <c r="F60" s="9">
        <f>IF(ISNUMBER(E60),C60*E60,0)</f>
        <v/>
      </c>
      <c r="G60" s="11" t="inlineStr">
        <is>
          <t>DRAFT</t>
        </is>
      </c>
    </row>
    <row r="61">
      <c r="A61" s="8" t="inlineStr">
        <is>
          <t>Arepa Vegan</t>
        </is>
      </c>
      <c r="B61" s="8" t="inlineStr">
        <is>
          <t>Avocado (#48 case)</t>
        </is>
      </c>
      <c r="C61" s="8" t="n">
        <v>0.33</v>
      </c>
      <c r="D61" s="8" t="inlineStr">
        <is>
          <t>each</t>
        </is>
      </c>
      <c r="E61" s="12">
        <f>IFERROR(VLOOKUP($B61,'Ingredient Prices'!$A:$I,9,FALSE),0)</f>
        <v/>
      </c>
      <c r="F61" s="9">
        <f>IF(ISNUMBER(E61),C61*E61,0)</f>
        <v/>
      </c>
      <c r="G61" s="11" t="inlineStr">
        <is>
          <t>DRAFT</t>
        </is>
      </c>
    </row>
    <row r="62">
      <c r="A62" s="8" t="inlineStr">
        <is>
          <t>Arepa Vegan</t>
        </is>
      </c>
      <c r="B62" s="8" t="inlineStr">
        <is>
          <t>Sweet plantain IQF</t>
        </is>
      </c>
      <c r="C62" s="8" t="n">
        <v>2</v>
      </c>
      <c r="D62" s="8" t="inlineStr">
        <is>
          <t>oz</t>
        </is>
      </c>
      <c r="E62" s="12">
        <f>IFERROR(VLOOKUP($B62,'Ingredient Prices'!$A:$I,9,FALSE),0)</f>
        <v/>
      </c>
      <c r="F62" s="9">
        <f>IF(ISNUMBER(E62),C62*E62,0)</f>
        <v/>
      </c>
      <c r="G62" s="11" t="inlineStr">
        <is>
          <t>DRAFT</t>
        </is>
      </c>
    </row>
    <row r="63">
      <c r="A63" s="8" t="inlineStr">
        <is>
          <t>Arepa Vegan</t>
        </is>
      </c>
      <c r="B63" s="8" t="inlineStr">
        <is>
          <t>Tomato</t>
        </is>
      </c>
      <c r="C63" s="8" t="n">
        <v>1</v>
      </c>
      <c r="D63" s="8" t="inlineStr">
        <is>
          <t>oz</t>
        </is>
      </c>
      <c r="E63" s="12">
        <f>IFERROR(VLOOKUP($B63,'Ingredient Prices'!$A:$I,9,FALSE),0)</f>
        <v/>
      </c>
      <c r="F63" s="9">
        <f>IF(ISNUMBER(E63),C63*E63,0)</f>
        <v/>
      </c>
      <c r="G63" s="11" t="inlineStr">
        <is>
          <t>DRAFT</t>
        </is>
      </c>
    </row>
    <row r="64">
      <c r="A64" s="8" t="inlineStr">
        <is>
          <t>Arepa Vegan</t>
        </is>
      </c>
      <c r="B64" s="8" t="inlineStr">
        <is>
          <t>Lettuce</t>
        </is>
      </c>
      <c r="C64" s="8" t="n">
        <v>0.1</v>
      </c>
      <c r="D64" s="8" t="inlineStr">
        <is>
          <t>each</t>
        </is>
      </c>
      <c r="E64" s="12">
        <f>IFERROR(VLOOKUP($B64,'Ingredient Prices'!$A:$I,9,FALSE),0)</f>
        <v/>
      </c>
      <c r="F64" s="9">
        <f>IF(ISNUMBER(E64),C64*E64,0)</f>
        <v/>
      </c>
      <c r="G64" s="11" t="inlineStr">
        <is>
          <t>DRAFT</t>
        </is>
      </c>
    </row>
    <row r="65">
      <c r="A65" s="8" t="inlineStr">
        <is>
          <t>Arepa Vegan</t>
        </is>
      </c>
      <c r="B65" s="8" t="inlineStr">
        <is>
          <t>Vegan mayo</t>
        </is>
      </c>
      <c r="C65" s="8" t="n">
        <v>1</v>
      </c>
      <c r="D65" s="8" t="inlineStr">
        <is>
          <t>fl oz</t>
        </is>
      </c>
      <c r="E65" s="12">
        <f>IFERROR(VLOOKUP($B65,'Ingredient Prices'!$A:$I,9,FALSE),0)</f>
        <v/>
      </c>
      <c r="F65" s="9">
        <f>IF(ISNUMBER(E65),C65*E65,0)</f>
        <v/>
      </c>
      <c r="G65" s="11" t="inlineStr">
        <is>
          <t>DRAFT: vegan guasacaca base</t>
        </is>
      </c>
    </row>
    <row r="66">
      <c r="A66" s="8" t="inlineStr">
        <is>
          <t>Arepa Vegan</t>
        </is>
      </c>
      <c r="B66" s="8" t="inlineStr">
        <is>
          <t>To-go container/wrap</t>
        </is>
      </c>
      <c r="C66" s="8" t="n">
        <v>1</v>
      </c>
      <c r="D66" s="8" t="inlineStr">
        <is>
          <t>each</t>
        </is>
      </c>
      <c r="E66" s="12">
        <f>IFERROR(VLOOKUP($B66,'Ingredient Prices'!$A:$I,9,FALSE),0)</f>
        <v/>
      </c>
      <c r="F66" s="9">
        <f>IF(ISNUMBER(E66),C66*E66,0)</f>
        <v/>
      </c>
      <c r="G66" s="11" t="inlineStr"/>
    </row>
    <row r="67">
      <c r="A67" s="8" t="inlineStr">
        <is>
          <t>Arepa Queen</t>
        </is>
      </c>
      <c r="B67" s="8" t="inlineStr">
        <is>
          <t>Harina P.A.N. (cornmeal)</t>
        </is>
      </c>
      <c r="C67" s="8" t="n">
        <v>3</v>
      </c>
      <c r="D67" s="8" t="inlineStr">
        <is>
          <t>oz</t>
        </is>
      </c>
      <c r="E67" s="12">
        <f>IFERROR(VLOOKUP($B67,'Ingredient Prices'!$A:$I,9,FALSE),0)</f>
        <v/>
      </c>
      <c r="F67" s="9">
        <f>IF(ISNUMBER(E67),C67*E67,0)</f>
        <v/>
      </c>
      <c r="G67" s="11" t="inlineStr">
        <is>
          <t>DRAFT: arepa shell</t>
        </is>
      </c>
    </row>
    <row r="68">
      <c r="A68" s="8" t="inlineStr">
        <is>
          <t>Arepa Queen</t>
        </is>
      </c>
      <c r="B68" s="8" t="inlineStr">
        <is>
          <t>Chicken breast jumbo (raw)</t>
        </is>
      </c>
      <c r="C68" s="8" t="n">
        <v>4</v>
      </c>
      <c r="D68" s="8" t="inlineStr">
        <is>
          <t>oz</t>
        </is>
      </c>
      <c r="E68" s="12">
        <f>IFERROR(VLOOKUP($B68,'Ingredient Prices'!$A:$I,9,FALSE),0)</f>
        <v/>
      </c>
      <c r="F68" s="9">
        <f>IF(ISNUMBER(E68),C68*E68,0)</f>
        <v/>
      </c>
      <c r="G68" s="11" t="inlineStr">
        <is>
          <t>DRAFT: chicken salad</t>
        </is>
      </c>
    </row>
    <row r="69">
      <c r="A69" s="8" t="inlineStr">
        <is>
          <t>Arepa Queen</t>
        </is>
      </c>
      <c r="B69" s="8" t="inlineStr">
        <is>
          <t>Mayonnaise</t>
        </is>
      </c>
      <c r="C69" s="8" t="n">
        <v>1</v>
      </c>
      <c r="D69" s="8" t="inlineStr">
        <is>
          <t>fl oz</t>
        </is>
      </c>
      <c r="E69" s="12">
        <f>IFERROR(VLOOKUP($B69,'Ingredient Prices'!$A:$I,9,FALSE),0)</f>
        <v/>
      </c>
      <c r="F69" s="9">
        <f>IF(ISNUMBER(E69),C69*E69,0)</f>
        <v/>
      </c>
      <c r="G69" s="11" t="inlineStr">
        <is>
          <t>DRAFT</t>
        </is>
      </c>
    </row>
    <row r="70">
      <c r="A70" s="8" t="inlineStr">
        <is>
          <t>Arepa Queen</t>
        </is>
      </c>
      <c r="B70" s="8" t="inlineStr">
        <is>
          <t>Mustard</t>
        </is>
      </c>
      <c r="C70" s="8" t="n">
        <v>0.3</v>
      </c>
      <c r="D70" s="8" t="inlineStr">
        <is>
          <t>fl oz</t>
        </is>
      </c>
      <c r="E70" s="12">
        <f>IFERROR(VLOOKUP($B70,'Ingredient Prices'!$A:$I,9,FALSE),0)</f>
        <v/>
      </c>
      <c r="F70" s="9">
        <f>IF(ISNUMBER(E70),C70*E70,0)</f>
        <v/>
      </c>
      <c r="G70" s="11" t="inlineStr">
        <is>
          <t>DRAFT</t>
        </is>
      </c>
    </row>
    <row r="71">
      <c r="A71" s="8" t="inlineStr">
        <is>
          <t>Arepa Queen</t>
        </is>
      </c>
      <c r="B71" s="8" t="inlineStr">
        <is>
          <t>Avocado (#48 case)</t>
        </is>
      </c>
      <c r="C71" s="8" t="n">
        <v>0.4</v>
      </c>
      <c r="D71" s="8" t="inlineStr">
        <is>
          <t>each</t>
        </is>
      </c>
      <c r="E71" s="12">
        <f>IFERROR(VLOOKUP($B71,'Ingredient Prices'!$A:$I,9,FALSE),0)</f>
        <v/>
      </c>
      <c r="F71" s="9">
        <f>IF(ISNUMBER(E71),C71*E71,0)</f>
        <v/>
      </c>
      <c r="G71" s="11" t="inlineStr">
        <is>
          <t>DRAFT: in salad + extra</t>
        </is>
      </c>
    </row>
    <row r="72">
      <c r="A72" s="8" t="inlineStr">
        <is>
          <t>Arepa Queen</t>
        </is>
      </c>
      <c r="B72" s="8" t="inlineStr">
        <is>
          <t>Sweet plantain IQF</t>
        </is>
      </c>
      <c r="C72" s="8" t="n">
        <v>2</v>
      </c>
      <c r="D72" s="8" t="inlineStr">
        <is>
          <t>oz</t>
        </is>
      </c>
      <c r="E72" s="12">
        <f>IFERROR(VLOOKUP($B72,'Ingredient Prices'!$A:$I,9,FALSE),0)</f>
        <v/>
      </c>
      <c r="F72" s="9">
        <f>IF(ISNUMBER(E72),C72*E72,0)</f>
        <v/>
      </c>
      <c r="G72" s="11" t="inlineStr">
        <is>
          <t>DRAFT</t>
        </is>
      </c>
    </row>
    <row r="73">
      <c r="A73" s="8" t="inlineStr">
        <is>
          <t>Arepa Queen</t>
        </is>
      </c>
      <c r="B73" s="8" t="inlineStr">
        <is>
          <t>Queso de Mano</t>
        </is>
      </c>
      <c r="C73" s="8" t="n">
        <v>1</v>
      </c>
      <c r="D73" s="8" t="inlineStr">
        <is>
          <t>oz</t>
        </is>
      </c>
      <c r="E73" s="12">
        <f>IFERROR(VLOOKUP($B73,'Ingredient Prices'!$A:$I,9,FALSE),0)</f>
        <v/>
      </c>
      <c r="F73" s="9">
        <f>IF(ISNUMBER(E73),C73*E73,0)</f>
        <v/>
      </c>
      <c r="G73" s="11" t="inlineStr">
        <is>
          <t>DRAFT</t>
        </is>
      </c>
    </row>
    <row r="74">
      <c r="A74" s="8" t="inlineStr">
        <is>
          <t>Arepa Queen</t>
        </is>
      </c>
      <c r="B74" s="8" t="inlineStr">
        <is>
          <t>Guasacaca sauce (house-made)</t>
        </is>
      </c>
      <c r="C74" s="8" t="n">
        <v>1</v>
      </c>
      <c r="D74" s="8" t="inlineStr">
        <is>
          <t>fl oz</t>
        </is>
      </c>
      <c r="E74" s="12">
        <f>IFERROR(VLOOKUP($B74,'Ingredient Prices'!$A:$I,9,FALSE),0)</f>
        <v/>
      </c>
      <c r="F74" s="9">
        <f>IF(ISNUMBER(E74),C74*E74,0)</f>
        <v/>
      </c>
      <c r="G74" s="11" t="inlineStr">
        <is>
          <t>DRAFT</t>
        </is>
      </c>
    </row>
    <row r="75">
      <c r="A75" s="8" t="inlineStr">
        <is>
          <t>Arepa Queen</t>
        </is>
      </c>
      <c r="B75" s="8" t="inlineStr">
        <is>
          <t>To-go container/wrap</t>
        </is>
      </c>
      <c r="C75" s="8" t="n">
        <v>1</v>
      </c>
      <c r="D75" s="8" t="inlineStr">
        <is>
          <t>each</t>
        </is>
      </c>
      <c r="E75" s="12">
        <f>IFERROR(VLOOKUP($B75,'Ingredient Prices'!$A:$I,9,FALSE),0)</f>
        <v/>
      </c>
      <c r="F75" s="9">
        <f>IF(ISNUMBER(E75),C75*E75,0)</f>
        <v/>
      </c>
      <c r="G75" s="11" t="inlineStr"/>
    </row>
    <row r="76">
      <c r="A76" s="8" t="inlineStr">
        <is>
          <t>Cachapas</t>
        </is>
      </c>
      <c r="B76" s="8" t="inlineStr">
        <is>
          <t>Cachapa pack (Palmita, w/ queso)</t>
        </is>
      </c>
      <c r="C76" s="8" t="n">
        <v>0.2</v>
      </c>
      <c r="D76" s="8" t="inlineStr">
        <is>
          <t>pack</t>
        </is>
      </c>
      <c r="E76" s="12">
        <f>IFERROR(VLOOKUP($B76,'Ingredient Prices'!$A:$I,9,FALSE),0)</f>
        <v/>
      </c>
      <c r="F76" s="9">
        <f>IF(ISNUMBER(E76),C76*E76,0)</f>
        <v/>
      </c>
      <c r="G76" s="11" t="inlineStr">
        <is>
          <t>DRAFT: assumes 5 cachapas/pack - VERIFY</t>
        </is>
      </c>
    </row>
    <row r="77">
      <c r="A77" s="8" t="inlineStr">
        <is>
          <t>Cachapas</t>
        </is>
      </c>
      <c r="B77" s="8" t="inlineStr">
        <is>
          <t>Queso de Mano</t>
        </is>
      </c>
      <c r="C77" s="8" t="n">
        <v>4</v>
      </c>
      <c r="D77" s="8" t="inlineStr">
        <is>
          <t>oz</t>
        </is>
      </c>
      <c r="E77" s="12">
        <f>IFERROR(VLOOKUP($B77,'Ingredient Prices'!$A:$I,9,FALSE),0)</f>
        <v/>
      </c>
      <c r="F77" s="9">
        <f>IF(ISNUMBER(E77),C77*E77,0)</f>
        <v/>
      </c>
      <c r="G77" s="11" t="inlineStr">
        <is>
          <t>DRAFT: melted paisa-style cheese</t>
        </is>
      </c>
    </row>
    <row r="78">
      <c r="A78" s="8" t="inlineStr">
        <is>
          <t>Cachapas</t>
        </is>
      </c>
      <c r="B78" s="8" t="inlineStr">
        <is>
          <t>Butter</t>
        </is>
      </c>
      <c r="C78" s="8" t="n">
        <v>0.5</v>
      </c>
      <c r="D78" s="8" t="inlineStr">
        <is>
          <t>oz</t>
        </is>
      </c>
      <c r="E78" s="12">
        <f>IFERROR(VLOOKUP($B78,'Ingredient Prices'!$A:$I,9,FALSE),0)</f>
        <v/>
      </c>
      <c r="F78" s="9">
        <f>IF(ISNUMBER(E78),C78*E78,0)</f>
        <v/>
      </c>
      <c r="G78" s="11" t="inlineStr">
        <is>
          <t>DRAFT</t>
        </is>
      </c>
    </row>
    <row r="79">
      <c r="A79" s="8" t="inlineStr">
        <is>
          <t>Cachapas</t>
        </is>
      </c>
      <c r="B79" s="8" t="inlineStr">
        <is>
          <t>Nata (crema)</t>
        </is>
      </c>
      <c r="C79" s="8" t="n">
        <v>1</v>
      </c>
      <c r="D79" s="8" t="inlineStr">
        <is>
          <t>oz</t>
        </is>
      </c>
      <c r="E79" s="12">
        <f>IFERROR(VLOOKUP($B79,'Ingredient Prices'!$A:$I,9,FALSE),0)</f>
        <v/>
      </c>
      <c r="F79" s="9">
        <f>IF(ISNUMBER(E79),C79*E79,0)</f>
        <v/>
      </c>
      <c r="G79" s="11" t="inlineStr">
        <is>
          <t>DRAFT</t>
        </is>
      </c>
    </row>
    <row r="80">
      <c r="A80" s="8" t="inlineStr">
        <is>
          <t>Cachapas</t>
        </is>
      </c>
      <c r="B80" s="8" t="inlineStr">
        <is>
          <t>To-go container/wrap</t>
        </is>
      </c>
      <c r="C80" s="8" t="n">
        <v>1</v>
      </c>
      <c r="D80" s="8" t="inlineStr">
        <is>
          <t>each</t>
        </is>
      </c>
      <c r="E80" s="12">
        <f>IFERROR(VLOOKUP($B80,'Ingredient Prices'!$A:$I,9,FALSE),0)</f>
        <v/>
      </c>
      <c r="F80" s="9">
        <f>IF(ISNUMBER(E80),C80*E80,0)</f>
        <v/>
      </c>
      <c r="G80" s="11" t="inlineStr"/>
    </row>
    <row r="81">
      <c r="A81" s="8" t="inlineStr">
        <is>
          <t>Patacon (Original)</t>
        </is>
      </c>
      <c r="B81" s="8" t="inlineStr">
        <is>
          <t>Green plantain</t>
        </is>
      </c>
      <c r="C81" s="8" t="n">
        <v>2</v>
      </c>
      <c r="D81" s="8" t="inlineStr">
        <is>
          <t>each</t>
        </is>
      </c>
      <c r="E81" s="12">
        <f>IFERROR(VLOOKUP($B81,'Ingredient Prices'!$A:$I,9,FALSE),0)</f>
        <v/>
      </c>
      <c r="F81" s="9">
        <f>IF(ISNUMBER(E81),C81*E81,0)</f>
        <v/>
      </c>
      <c r="G81" s="11" t="inlineStr">
        <is>
          <t>DRAFT: 2 plantains for the 2 slices</t>
        </is>
      </c>
    </row>
    <row r="82">
      <c r="A82" s="8" t="inlineStr">
        <is>
          <t>Patacon (Original)</t>
        </is>
      </c>
      <c r="B82" s="8" t="inlineStr">
        <is>
          <t>Chicken breast jumbo (raw)</t>
        </is>
      </c>
      <c r="C82" s="8" t="n">
        <v>3</v>
      </c>
      <c r="D82" s="8" t="inlineStr">
        <is>
          <t>oz</t>
        </is>
      </c>
      <c r="E82" s="12">
        <f>IFERROR(VLOOKUP($B82,'Ingredient Prices'!$A:$I,9,FALSE),0)</f>
        <v/>
      </c>
      <c r="F82" s="9">
        <f>IF(ISNUMBER(E82),C82*E82,0)</f>
        <v/>
      </c>
      <c r="G82" s="11" t="inlineStr">
        <is>
          <t>DRAFT</t>
        </is>
      </c>
    </row>
    <row r="83">
      <c r="A83" s="8" t="inlineStr">
        <is>
          <t>Patacon (Original)</t>
        </is>
      </c>
      <c r="B83" s="8" t="inlineStr">
        <is>
          <t>Beef rib lifter meat (raw)</t>
        </is>
      </c>
      <c r="C83" s="8" t="n">
        <v>3</v>
      </c>
      <c r="D83" s="8" t="inlineStr">
        <is>
          <t>oz</t>
        </is>
      </c>
      <c r="E83" s="12">
        <f>IFERROR(VLOOKUP($B83,'Ingredient Prices'!$A:$I,9,FALSE),0)</f>
        <v/>
      </c>
      <c r="F83" s="9">
        <f>IF(ISNUMBER(E83),C83*E83,0)</f>
        <v/>
      </c>
      <c r="G83" s="11" t="inlineStr">
        <is>
          <t>DRAFT</t>
        </is>
      </c>
    </row>
    <row r="84">
      <c r="A84" s="8" t="inlineStr">
        <is>
          <t>Patacon (Original)</t>
        </is>
      </c>
      <c r="B84" s="8" t="inlineStr">
        <is>
          <t>Cabbage</t>
        </is>
      </c>
      <c r="C84" s="8" t="n">
        <v>2</v>
      </c>
      <c r="D84" s="8" t="inlineStr">
        <is>
          <t>oz</t>
        </is>
      </c>
      <c r="E84" s="12">
        <f>IFERROR(VLOOKUP($B84,'Ingredient Prices'!$A:$I,9,FALSE),0)</f>
        <v/>
      </c>
      <c r="F84" s="9">
        <f>IF(ISNUMBER(E84),C84*E84,0)</f>
        <v/>
      </c>
      <c r="G84" s="11" t="inlineStr">
        <is>
          <t>DRAFT: coleslaw</t>
        </is>
      </c>
    </row>
    <row r="85">
      <c r="A85" s="8" t="inlineStr">
        <is>
          <t>Patacon (Original)</t>
        </is>
      </c>
      <c r="B85" s="8" t="inlineStr">
        <is>
          <t>Carrot</t>
        </is>
      </c>
      <c r="C85" s="8" t="n">
        <v>0.5</v>
      </c>
      <c r="D85" s="8" t="inlineStr">
        <is>
          <t>oz</t>
        </is>
      </c>
      <c r="E85" s="12">
        <f>IFERROR(VLOOKUP($B85,'Ingredient Prices'!$A:$I,9,FALSE),0)</f>
        <v/>
      </c>
      <c r="F85" s="9">
        <f>IF(ISNUMBER(E85),C85*E85,0)</f>
        <v/>
      </c>
      <c r="G85" s="11" t="inlineStr">
        <is>
          <t>DRAFT: coleslaw</t>
        </is>
      </c>
    </row>
    <row r="86">
      <c r="A86" s="8" t="inlineStr">
        <is>
          <t>Patacon (Original)</t>
        </is>
      </c>
      <c r="B86" s="8" t="inlineStr">
        <is>
          <t>Mayonnaise</t>
        </is>
      </c>
      <c r="C86" s="8" t="n">
        <v>1</v>
      </c>
      <c r="D86" s="8" t="inlineStr">
        <is>
          <t>fl oz</t>
        </is>
      </c>
      <c r="E86" s="12">
        <f>IFERROR(VLOOKUP($B86,'Ingredient Prices'!$A:$I,9,FALSE),0)</f>
        <v/>
      </c>
      <c r="F86" s="9">
        <f>IF(ISNUMBER(E86),C86*E86,0)</f>
        <v/>
      </c>
      <c r="G86" s="11" t="inlineStr">
        <is>
          <t>DRAFT: slaw + sauces</t>
        </is>
      </c>
    </row>
    <row r="87">
      <c r="A87" s="8" t="inlineStr">
        <is>
          <t>Patacon (Original)</t>
        </is>
      </c>
      <c r="B87" s="8" t="inlineStr">
        <is>
          <t>Queso de Mano</t>
        </is>
      </c>
      <c r="C87" s="8" t="n">
        <v>1.5</v>
      </c>
      <c r="D87" s="8" t="inlineStr">
        <is>
          <t>oz</t>
        </is>
      </c>
      <c r="E87" s="12">
        <f>IFERROR(VLOOKUP($B87,'Ingredient Prices'!$A:$I,9,FALSE),0)</f>
        <v/>
      </c>
      <c r="F87" s="9">
        <f>IF(ISNUMBER(E87),C87*E87,0)</f>
        <v/>
      </c>
      <c r="G87" s="11" t="inlineStr">
        <is>
          <t>DRAFT</t>
        </is>
      </c>
    </row>
    <row r="88">
      <c r="A88" s="8" t="inlineStr">
        <is>
          <t>Patacon (Original)</t>
        </is>
      </c>
      <c r="B88" s="8" t="inlineStr">
        <is>
          <t>Avocado (#48 case)</t>
        </is>
      </c>
      <c r="C88" s="8" t="n">
        <v>0.33</v>
      </c>
      <c r="D88" s="8" t="inlineStr">
        <is>
          <t>each</t>
        </is>
      </c>
      <c r="E88" s="12">
        <f>IFERROR(VLOOKUP($B88,'Ingredient Prices'!$A:$I,9,FALSE),0)</f>
        <v/>
      </c>
      <c r="F88" s="9">
        <f>IF(ISNUMBER(E88),C88*E88,0)</f>
        <v/>
      </c>
      <c r="G88" s="11" t="inlineStr">
        <is>
          <t>DRAFT</t>
        </is>
      </c>
    </row>
    <row r="89">
      <c r="A89" s="8" t="inlineStr">
        <is>
          <t>Patacon (Original)</t>
        </is>
      </c>
      <c r="B89" s="8" t="inlineStr">
        <is>
          <t>Tomato</t>
        </is>
      </c>
      <c r="C89" s="8" t="n">
        <v>1</v>
      </c>
      <c r="D89" s="8" t="inlineStr">
        <is>
          <t>oz</t>
        </is>
      </c>
      <c r="E89" s="12">
        <f>IFERROR(VLOOKUP($B89,'Ingredient Prices'!$A:$I,9,FALSE),0)</f>
        <v/>
      </c>
      <c r="F89" s="9">
        <f>IF(ISNUMBER(E89),C89*E89,0)</f>
        <v/>
      </c>
      <c r="G89" s="11" t="inlineStr">
        <is>
          <t>DRAFT</t>
        </is>
      </c>
    </row>
    <row r="90">
      <c r="A90" s="8" t="inlineStr">
        <is>
          <t>Patacon (Original)</t>
        </is>
      </c>
      <c r="B90" s="8" t="inlineStr">
        <is>
          <t>Guasacaca sauce (house-made)</t>
        </is>
      </c>
      <c r="C90" s="8" t="n">
        <v>1.5</v>
      </c>
      <c r="D90" s="8" t="inlineStr">
        <is>
          <t>fl oz</t>
        </is>
      </c>
      <c r="E90" s="12">
        <f>IFERROR(VLOOKUP($B90,'Ingredient Prices'!$A:$I,9,FALSE),0)</f>
        <v/>
      </c>
      <c r="F90" s="9">
        <f>IF(ISNUMBER(E90),C90*E90,0)</f>
        <v/>
      </c>
      <c r="G90" s="11" t="inlineStr">
        <is>
          <t>DRAFT: 3 sauces</t>
        </is>
      </c>
    </row>
    <row r="91">
      <c r="A91" s="8" t="inlineStr">
        <is>
          <t>Patacon (Original)</t>
        </is>
      </c>
      <c r="B91" s="8" t="inlineStr">
        <is>
          <t>Frying shortening (canola liquid)</t>
        </is>
      </c>
      <c r="C91" s="8" t="n">
        <v>2</v>
      </c>
      <c r="D91" s="8" t="inlineStr">
        <is>
          <t>oz</t>
        </is>
      </c>
      <c r="E91" s="12">
        <f>IFERROR(VLOOKUP($B91,'Ingredient Prices'!$A:$I,9,FALSE),0)</f>
        <v/>
      </c>
      <c r="F91" s="9">
        <f>IF(ISNUMBER(E91),C91*E91,0)</f>
        <v/>
      </c>
      <c r="G91" s="11" t="inlineStr">
        <is>
          <t>DRAFT</t>
        </is>
      </c>
    </row>
    <row r="92">
      <c r="A92" s="8" t="inlineStr">
        <is>
          <t>Patacon (Original)</t>
        </is>
      </c>
      <c r="B92" s="8" t="inlineStr">
        <is>
          <t>To-go container/wrap</t>
        </is>
      </c>
      <c r="C92" s="8" t="n">
        <v>1</v>
      </c>
      <c r="D92" s="8" t="inlineStr">
        <is>
          <t>each</t>
        </is>
      </c>
      <c r="E92" s="12">
        <f>IFERROR(VLOOKUP($B92,'Ingredient Prices'!$A:$I,9,FALSE),0)</f>
        <v/>
      </c>
      <c r="F92" s="9">
        <f>IF(ISNUMBER(E92),C92*E92,0)</f>
        <v/>
      </c>
      <c r="G92" s="11" t="inlineStr"/>
    </row>
    <row r="93">
      <c r="A93" s="8" t="inlineStr">
        <is>
          <t>Patacon (Vegetarian)</t>
        </is>
      </c>
      <c r="B93" s="8" t="inlineStr">
        <is>
          <t>Green plantain</t>
        </is>
      </c>
      <c r="C93" s="8" t="n">
        <v>2</v>
      </c>
      <c r="D93" s="8" t="inlineStr">
        <is>
          <t>each</t>
        </is>
      </c>
      <c r="E93" s="12">
        <f>IFERROR(VLOOKUP($B93,'Ingredient Prices'!$A:$I,9,FALSE),0)</f>
        <v/>
      </c>
      <c r="F93" s="9">
        <f>IF(ISNUMBER(E93),C93*E93,0)</f>
        <v/>
      </c>
      <c r="G93" s="11" t="inlineStr">
        <is>
          <t>DRAFT</t>
        </is>
      </c>
    </row>
    <row r="94">
      <c r="A94" s="8" t="inlineStr">
        <is>
          <t>Patacon (Vegetarian)</t>
        </is>
      </c>
      <c r="B94" s="8" t="inlineStr">
        <is>
          <t>Cabbage</t>
        </is>
      </c>
      <c r="C94" s="8" t="n">
        <v>2</v>
      </c>
      <c r="D94" s="8" t="inlineStr">
        <is>
          <t>oz</t>
        </is>
      </c>
      <c r="E94" s="12">
        <f>IFERROR(VLOOKUP($B94,'Ingredient Prices'!$A:$I,9,FALSE),0)</f>
        <v/>
      </c>
      <c r="F94" s="9">
        <f>IF(ISNUMBER(E94),C94*E94,0)</f>
        <v/>
      </c>
      <c r="G94" s="11" t="inlineStr">
        <is>
          <t>DRAFT: coleslaw</t>
        </is>
      </c>
    </row>
    <row r="95">
      <c r="A95" s="8" t="inlineStr">
        <is>
          <t>Patacon (Vegetarian)</t>
        </is>
      </c>
      <c r="B95" s="8" t="inlineStr">
        <is>
          <t>Carrot</t>
        </is>
      </c>
      <c r="C95" s="8" t="n">
        <v>0.5</v>
      </c>
      <c r="D95" s="8" t="inlineStr">
        <is>
          <t>oz</t>
        </is>
      </c>
      <c r="E95" s="12">
        <f>IFERROR(VLOOKUP($B95,'Ingredient Prices'!$A:$I,9,FALSE),0)</f>
        <v/>
      </c>
      <c r="F95" s="9">
        <f>IF(ISNUMBER(E95),C95*E95,0)</f>
        <v/>
      </c>
      <c r="G95" s="11" t="inlineStr">
        <is>
          <t>DRAFT: coleslaw</t>
        </is>
      </c>
    </row>
    <row r="96">
      <c r="A96" s="8" t="inlineStr">
        <is>
          <t>Patacon (Vegetarian)</t>
        </is>
      </c>
      <c r="B96" s="8" t="inlineStr">
        <is>
          <t>Mayonnaise</t>
        </is>
      </c>
      <c r="C96" s="8" t="n">
        <v>1</v>
      </c>
      <c r="D96" s="8" t="inlineStr">
        <is>
          <t>fl oz</t>
        </is>
      </c>
      <c r="E96" s="12">
        <f>IFERROR(VLOOKUP($B96,'Ingredient Prices'!$A:$I,9,FALSE),0)</f>
        <v/>
      </c>
      <c r="F96" s="9">
        <f>IF(ISNUMBER(E96),C96*E96,0)</f>
        <v/>
      </c>
      <c r="G96" s="11" t="inlineStr">
        <is>
          <t>DRAFT</t>
        </is>
      </c>
    </row>
    <row r="97">
      <c r="A97" s="8" t="inlineStr">
        <is>
          <t>Patacon (Vegetarian)</t>
        </is>
      </c>
      <c r="B97" s="8" t="inlineStr">
        <is>
          <t>Queso de Mano</t>
        </is>
      </c>
      <c r="C97" s="8" t="n">
        <v>1.5</v>
      </c>
      <c r="D97" s="8" t="inlineStr">
        <is>
          <t>oz</t>
        </is>
      </c>
      <c r="E97" s="12">
        <f>IFERROR(VLOOKUP($B97,'Ingredient Prices'!$A:$I,9,FALSE),0)</f>
        <v/>
      </c>
      <c r="F97" s="9">
        <f>IF(ISNUMBER(E97),C97*E97,0)</f>
        <v/>
      </c>
      <c r="G97" s="11" t="inlineStr">
        <is>
          <t>DRAFT</t>
        </is>
      </c>
    </row>
    <row r="98">
      <c r="A98" s="8" t="inlineStr">
        <is>
          <t>Patacon (Vegetarian)</t>
        </is>
      </c>
      <c r="B98" s="8" t="inlineStr">
        <is>
          <t>Avocado (#48 case)</t>
        </is>
      </c>
      <c r="C98" s="8" t="n">
        <v>0.33</v>
      </c>
      <c r="D98" s="8" t="inlineStr">
        <is>
          <t>each</t>
        </is>
      </c>
      <c r="E98" s="12">
        <f>IFERROR(VLOOKUP($B98,'Ingredient Prices'!$A:$I,9,FALSE),0)</f>
        <v/>
      </c>
      <c r="F98" s="9">
        <f>IF(ISNUMBER(E98),C98*E98,0)</f>
        <v/>
      </c>
      <c r="G98" s="11" t="inlineStr">
        <is>
          <t>DRAFT</t>
        </is>
      </c>
    </row>
    <row r="99">
      <c r="A99" s="8" t="inlineStr">
        <is>
          <t>Patacon (Vegetarian)</t>
        </is>
      </c>
      <c r="B99" s="8" t="inlineStr">
        <is>
          <t>Tomato</t>
        </is>
      </c>
      <c r="C99" s="8" t="n">
        <v>1.5</v>
      </c>
      <c r="D99" s="8" t="inlineStr">
        <is>
          <t>oz</t>
        </is>
      </c>
      <c r="E99" s="12">
        <f>IFERROR(VLOOKUP($B99,'Ingredient Prices'!$A:$I,9,FALSE),0)</f>
        <v/>
      </c>
      <c r="F99" s="9">
        <f>IF(ISNUMBER(E99),C99*E99,0)</f>
        <v/>
      </c>
      <c r="G99" s="11" t="inlineStr">
        <is>
          <t>DRAFT</t>
        </is>
      </c>
    </row>
    <row r="100">
      <c r="A100" s="8" t="inlineStr">
        <is>
          <t>Patacon (Vegetarian)</t>
        </is>
      </c>
      <c r="B100" s="8" t="inlineStr">
        <is>
          <t>Lettuce</t>
        </is>
      </c>
      <c r="C100" s="8" t="n">
        <v>0.15</v>
      </c>
      <c r="D100" s="8" t="inlineStr">
        <is>
          <t>each</t>
        </is>
      </c>
      <c r="E100" s="12">
        <f>IFERROR(VLOOKUP($B100,'Ingredient Prices'!$A:$I,9,FALSE),0)</f>
        <v/>
      </c>
      <c r="F100" s="9">
        <f>IF(ISNUMBER(E100),C100*E100,0)</f>
        <v/>
      </c>
      <c r="G100" s="11" t="inlineStr">
        <is>
          <t>DRAFT</t>
        </is>
      </c>
    </row>
    <row r="101">
      <c r="A101" s="8" t="inlineStr">
        <is>
          <t>Patacon (Vegetarian)</t>
        </is>
      </c>
      <c r="B101" s="8" t="inlineStr">
        <is>
          <t>Guasacaca sauce (house-made)</t>
        </is>
      </c>
      <c r="C101" s="8" t="n">
        <v>1.5</v>
      </c>
      <c r="D101" s="8" t="inlineStr">
        <is>
          <t>fl oz</t>
        </is>
      </c>
      <c r="E101" s="12">
        <f>IFERROR(VLOOKUP($B101,'Ingredient Prices'!$A:$I,9,FALSE),0)</f>
        <v/>
      </c>
      <c r="F101" s="9">
        <f>IF(ISNUMBER(E101),C101*E101,0)</f>
        <v/>
      </c>
      <c r="G101" s="11" t="inlineStr">
        <is>
          <t>DRAFT</t>
        </is>
      </c>
    </row>
    <row r="102">
      <c r="A102" s="8" t="inlineStr">
        <is>
          <t>Patacon (Vegetarian)</t>
        </is>
      </c>
      <c r="B102" s="8" t="inlineStr">
        <is>
          <t>Frying shortening (canola liquid)</t>
        </is>
      </c>
      <c r="C102" s="8" t="n">
        <v>2</v>
      </c>
      <c r="D102" s="8" t="inlineStr">
        <is>
          <t>oz</t>
        </is>
      </c>
      <c r="E102" s="12">
        <f>IFERROR(VLOOKUP($B102,'Ingredient Prices'!$A:$I,9,FALSE),0)</f>
        <v/>
      </c>
      <c r="F102" s="9">
        <f>IF(ISNUMBER(E102),C102*E102,0)</f>
        <v/>
      </c>
      <c r="G102" s="11" t="inlineStr">
        <is>
          <t>DRAFT</t>
        </is>
      </c>
    </row>
    <row r="103">
      <c r="A103" s="8" t="inlineStr">
        <is>
          <t>Patacon (Vegetarian)</t>
        </is>
      </c>
      <c r="B103" s="8" t="inlineStr">
        <is>
          <t>To-go container/wrap</t>
        </is>
      </c>
      <c r="C103" s="8" t="n">
        <v>1</v>
      </c>
      <c r="D103" s="8" t="inlineStr">
        <is>
          <t>each</t>
        </is>
      </c>
      <c r="E103" s="12">
        <f>IFERROR(VLOOKUP($B103,'Ingredient Prices'!$A:$I,9,FALSE),0)</f>
        <v/>
      </c>
      <c r="F103" s="9">
        <f>IF(ISNUMBER(E103),C103*E103,0)</f>
        <v/>
      </c>
      <c r="G103" s="11" t="inlineStr"/>
    </row>
    <row r="104">
      <c r="A104" s="8" t="inlineStr">
        <is>
          <t>Passion Fruit (20 oz)</t>
        </is>
      </c>
      <c r="B104" s="8" t="inlineStr">
        <is>
          <t>Concentrado de Parchita</t>
        </is>
      </c>
      <c r="C104" s="8" t="n">
        <v>4</v>
      </c>
      <c r="D104" s="8" t="inlineStr">
        <is>
          <t>fl oz</t>
        </is>
      </c>
      <c r="E104" s="12">
        <f>IFERROR(VLOOKUP($B104,'Ingredient Prices'!$A:$I,9,FALSE),0)</f>
        <v/>
      </c>
      <c r="F104" s="9">
        <f>IF(ISNUMBER(E104),C104*E104,0)</f>
        <v/>
      </c>
      <c r="G104" s="11" t="inlineStr">
        <is>
          <t>DRAFT: fl oz concentrate per 20 oz cup</t>
        </is>
      </c>
    </row>
    <row r="105">
      <c r="A105" s="8" t="inlineStr">
        <is>
          <t>Passion Fruit (20 oz)</t>
        </is>
      </c>
      <c r="B105" s="8" t="inlineStr">
        <is>
          <t>Sugar</t>
        </is>
      </c>
      <c r="C105" s="8" t="n">
        <v>1</v>
      </c>
      <c r="D105" s="8" t="inlineStr">
        <is>
          <t>oz</t>
        </is>
      </c>
      <c r="E105" s="12">
        <f>IFERROR(VLOOKUP($B105,'Ingredient Prices'!$A:$I,9,FALSE),0)</f>
        <v/>
      </c>
      <c r="F105" s="9">
        <f>IF(ISNUMBER(E105),C105*E105,0)</f>
        <v/>
      </c>
      <c r="G105" s="11" t="inlineStr">
        <is>
          <t>DRAFT</t>
        </is>
      </c>
    </row>
    <row r="106">
      <c r="A106" s="8" t="inlineStr">
        <is>
          <t>Passion Fruit (20 oz)</t>
        </is>
      </c>
      <c r="B106" s="8" t="inlineStr">
        <is>
          <t>Drink cup + lid + straw (20 oz)</t>
        </is>
      </c>
      <c r="C106" s="8" t="n">
        <v>1</v>
      </c>
      <c r="D106" s="8" t="inlineStr">
        <is>
          <t>each</t>
        </is>
      </c>
      <c r="E106" s="12">
        <f>IFERROR(VLOOKUP($B106,'Ingredient Prices'!$A:$I,9,FALSE),0)</f>
        <v/>
      </c>
      <c r="F106" s="9">
        <f>IF(ISNUMBER(E106),C106*E106,0)</f>
        <v/>
      </c>
      <c r="G106" s="11" t="inlineStr"/>
    </row>
    <row r="107">
      <c r="A107" s="8" t="inlineStr">
        <is>
          <t>Pineapple Juice (20 oz)</t>
        </is>
      </c>
      <c r="B107" s="8" t="inlineStr">
        <is>
          <t>Concentrado de Pina</t>
        </is>
      </c>
      <c r="C107" s="8" t="n">
        <v>4</v>
      </c>
      <c r="D107" s="8" t="inlineStr">
        <is>
          <t>fl oz</t>
        </is>
      </c>
      <c r="E107" s="12">
        <f>IFERROR(VLOOKUP($B107,'Ingredient Prices'!$A:$I,9,FALSE),0)</f>
        <v/>
      </c>
      <c r="F107" s="9">
        <f>IF(ISNUMBER(E107),C107*E107,0)</f>
        <v/>
      </c>
      <c r="G107" s="11" t="inlineStr">
        <is>
          <t>DRAFT: fl oz concentrate per 20 oz cup</t>
        </is>
      </c>
    </row>
    <row r="108">
      <c r="A108" s="8" t="inlineStr">
        <is>
          <t>Pineapple Juice (20 oz)</t>
        </is>
      </c>
      <c r="B108" s="8" t="inlineStr">
        <is>
          <t>Sugar</t>
        </is>
      </c>
      <c r="C108" s="8" t="n">
        <v>1</v>
      </c>
      <c r="D108" s="8" t="inlineStr">
        <is>
          <t>oz</t>
        </is>
      </c>
      <c r="E108" s="12">
        <f>IFERROR(VLOOKUP($B108,'Ingredient Prices'!$A:$I,9,FALSE),0)</f>
        <v/>
      </c>
      <c r="F108" s="9">
        <f>IF(ISNUMBER(E108),C108*E108,0)</f>
        <v/>
      </c>
      <c r="G108" s="11" t="inlineStr">
        <is>
          <t>DRAFT</t>
        </is>
      </c>
    </row>
    <row r="109">
      <c r="A109" s="8" t="inlineStr">
        <is>
          <t>Pineapple Juice (20 oz)</t>
        </is>
      </c>
      <c r="B109" s="8" t="inlineStr">
        <is>
          <t>Drink cup + lid + straw (20 oz)</t>
        </is>
      </c>
      <c r="C109" s="8" t="n">
        <v>1</v>
      </c>
      <c r="D109" s="8" t="inlineStr">
        <is>
          <t>each</t>
        </is>
      </c>
      <c r="E109" s="12">
        <f>IFERROR(VLOOKUP($B109,'Ingredient Prices'!$A:$I,9,FALSE),0)</f>
        <v/>
      </c>
      <c r="F109" s="9">
        <f>IF(ISNUMBER(E109),C109*E109,0)</f>
        <v/>
      </c>
      <c r="G109" s="11" t="inlineStr"/>
    </row>
    <row r="110">
      <c r="A110" s="8" t="inlineStr">
        <is>
          <t>Papelon con Limon (20 oz)</t>
        </is>
      </c>
      <c r="B110" s="8" t="inlineStr">
        <is>
          <t>Papelon (panela)</t>
        </is>
      </c>
      <c r="C110" s="8" t="n">
        <v>2</v>
      </c>
      <c r="D110" s="8" t="inlineStr">
        <is>
          <t>oz</t>
        </is>
      </c>
      <c r="E110" s="12">
        <f>IFERROR(VLOOKUP($B110,'Ingredient Prices'!$A:$I,9,FALSE),0)</f>
        <v/>
      </c>
      <c r="F110" s="9">
        <f>IF(ISNUMBER(E110),C110*E110,0)</f>
        <v/>
      </c>
      <c r="G110" s="11" t="inlineStr">
        <is>
          <t>DRAFT</t>
        </is>
      </c>
    </row>
    <row r="111">
      <c r="A111" s="8" t="inlineStr">
        <is>
          <t>Papelon con Limon (20 oz)</t>
        </is>
      </c>
      <c r="B111" s="8" t="inlineStr">
        <is>
          <t>Lime</t>
        </is>
      </c>
      <c r="C111" s="8" t="n">
        <v>1</v>
      </c>
      <c r="D111" s="8" t="inlineStr">
        <is>
          <t>each</t>
        </is>
      </c>
      <c r="E111" s="12">
        <f>IFERROR(VLOOKUP($B111,'Ingredient Prices'!$A:$I,9,FALSE),0)</f>
        <v/>
      </c>
      <c r="F111" s="9">
        <f>IF(ISNUMBER(E111),C111*E111,0)</f>
        <v/>
      </c>
      <c r="G111" s="11" t="inlineStr">
        <is>
          <t>DRAFT</t>
        </is>
      </c>
    </row>
    <row r="112">
      <c r="A112" s="8" t="inlineStr">
        <is>
          <t>Papelon con Limon (20 oz)</t>
        </is>
      </c>
      <c r="B112" s="8" t="inlineStr">
        <is>
          <t>Drink cup + lid + straw (20 oz)</t>
        </is>
      </c>
      <c r="C112" s="8" t="n">
        <v>1</v>
      </c>
      <c r="D112" s="8" t="inlineStr">
        <is>
          <t>each</t>
        </is>
      </c>
      <c r="E112" s="12">
        <f>IFERROR(VLOOKUP($B112,'Ingredient Prices'!$A:$I,9,FALSE),0)</f>
        <v/>
      </c>
      <c r="F112" s="9">
        <f>IF(ISNUMBER(E112),C112*E112,0)</f>
        <v/>
      </c>
      <c r="G112" s="11" t="inlineStr"/>
    </row>
    <row r="113">
      <c r="A113" s="8" t="inlineStr">
        <is>
          <t>Malta Polar (12 oz)</t>
        </is>
      </c>
      <c r="B113" s="8" t="inlineStr">
        <is>
          <t>Malta Polar (12 oz can)</t>
        </is>
      </c>
      <c r="C113" s="8" t="n">
        <v>1</v>
      </c>
      <c r="D113" s="8" t="inlineStr">
        <is>
          <t>each</t>
        </is>
      </c>
      <c r="E113" s="12">
        <f>IFERROR(VLOOKUP($B113,'Ingredient Prices'!$A:$I,9,FALSE),0)</f>
        <v/>
      </c>
      <c r="F113" s="9">
        <f>IF(ISNUMBER(E113),C113*E113,0)</f>
        <v/>
      </c>
      <c r="G113" s="11" t="inlineStr">
        <is>
          <t>ESTIMATE price - not on recent invoices</t>
        </is>
      </c>
    </row>
    <row r="114">
      <c r="A114" s="8" t="inlineStr">
        <is>
          <t>Frescolita (12 oz)</t>
        </is>
      </c>
      <c r="B114" s="8" t="inlineStr">
        <is>
          <t>Frescolita (12 oz can)</t>
        </is>
      </c>
      <c r="C114" s="8" t="n">
        <v>1</v>
      </c>
      <c r="D114" s="8" t="inlineStr">
        <is>
          <t>each</t>
        </is>
      </c>
      <c r="E114" s="12">
        <f>IFERROR(VLOOKUP($B114,'Ingredient Prices'!$A:$I,9,FALSE),0)</f>
        <v/>
      </c>
      <c r="F114" s="9">
        <f>IF(ISNUMBER(E114),C114*E114,0)</f>
        <v/>
      </c>
      <c r="G114" s="11" t="inlineStr"/>
    </row>
    <row r="115">
      <c r="A115" s="8" t="inlineStr">
        <is>
          <t>Cri-Cri</t>
        </is>
      </c>
      <c r="B115" s="8" t="inlineStr">
        <is>
          <t>Cri-Cri</t>
        </is>
      </c>
      <c r="C115" s="8" t="n">
        <v>1</v>
      </c>
      <c r="D115" s="8" t="inlineStr">
        <is>
          <t>each</t>
        </is>
      </c>
      <c r="E115" s="12">
        <f>IFERROR(VLOOKUP($B115,'Ingredient Prices'!$A:$I,9,FALSE),0)</f>
        <v/>
      </c>
      <c r="F115" s="9">
        <f>IF(ISNUMBER(E115),C115*E115,0)</f>
        <v/>
      </c>
      <c r="G115" s="11" t="inlineStr"/>
    </row>
    <row r="116">
      <c r="A116" s="8" t="inlineStr">
        <is>
          <t>Pirucream</t>
        </is>
      </c>
      <c r="B116" s="8" t="inlineStr">
        <is>
          <t>Pirucream (300 g can)</t>
        </is>
      </c>
      <c r="C116" s="8" t="n">
        <v>1</v>
      </c>
      <c r="D116" s="8" t="inlineStr">
        <is>
          <t>each</t>
        </is>
      </c>
      <c r="E116" s="12">
        <f>IFERROR(VLOOKUP($B116,'Ingredient Prices'!$A:$I,9,FALSE),0)</f>
        <v/>
      </c>
      <c r="F116" s="9">
        <f>IF(ISNUMBER(E116),C116*E116,0)</f>
        <v/>
      </c>
      <c r="G116" s="11" t="inlineStr"/>
    </row>
    <row r="117">
      <c r="A117" s="8" t="inlineStr">
        <is>
          <t>Cocosette</t>
        </is>
      </c>
      <c r="B117" s="8" t="inlineStr">
        <is>
          <t>Cocosette</t>
        </is>
      </c>
      <c r="C117" s="8" t="n">
        <v>1</v>
      </c>
      <c r="D117" s="8" t="inlineStr">
        <is>
          <t>each</t>
        </is>
      </c>
      <c r="E117" s="12">
        <f>IFERROR(VLOOKUP($B117,'Ingredient Prices'!$A:$I,9,FALSE),0)</f>
        <v/>
      </c>
      <c r="F117" s="9">
        <f>IF(ISNUMBER(E117),C117*E117,0)</f>
        <v/>
      </c>
      <c r="G117" s="11" t="inlineStr"/>
    </row>
    <row r="118">
      <c r="A118" s="8" t="inlineStr">
        <is>
          <t>Samba (Strawberry)</t>
        </is>
      </c>
      <c r="B118" s="8" t="inlineStr">
        <is>
          <t>Samba (Strawberry)</t>
        </is>
      </c>
      <c r="C118" s="8" t="n">
        <v>1</v>
      </c>
      <c r="D118" s="8" t="inlineStr">
        <is>
          <t>each</t>
        </is>
      </c>
      <c r="E118" s="12">
        <f>IFERROR(VLOOKUP($B118,'Ingredient Prices'!$A:$I,9,FALSE),0)</f>
        <v/>
      </c>
      <c r="F118" s="9">
        <f>IF(ISNUMBER(E118),C118*E118,0)</f>
        <v/>
      </c>
      <c r="G118" s="11" t="inlineStr"/>
    </row>
    <row r="119">
      <c r="A119" s="8" t="inlineStr">
        <is>
          <t>Carré (Savoy Hazelnut Milk Chocolate)</t>
        </is>
      </c>
      <c r="B119" s="8" t="inlineStr">
        <is>
          <t>Carre Savoy (each)</t>
        </is>
      </c>
      <c r="C119" s="8" t="n">
        <v>1</v>
      </c>
      <c r="D119" s="8" t="inlineStr">
        <is>
          <t>each</t>
        </is>
      </c>
      <c r="E119" s="12">
        <f>IFERROR(VLOOKUP($B119,'Ingredient Prices'!$A:$I,9,FALSE),0)</f>
        <v/>
      </c>
      <c r="F119" s="9">
        <f>IF(ISNUMBER(E119),C119*E119,0)</f>
        <v/>
      </c>
      <c r="G119" s="11" t="inlineStr">
        <is>
          <t>ESTIMATE price</t>
        </is>
      </c>
    </row>
    <row r="120">
      <c r="A120" s="8" t="inlineStr">
        <is>
          <t>Savoy - Chocolate de Leche</t>
        </is>
      </c>
      <c r="B120" s="8" t="inlineStr">
        <is>
          <t>Savoy Chocolate de Leche</t>
        </is>
      </c>
      <c r="C120" s="8" t="n">
        <v>1</v>
      </c>
      <c r="D120" s="8" t="inlineStr">
        <is>
          <t>each</t>
        </is>
      </c>
      <c r="E120" s="12">
        <f>IFERROR(VLOOKUP($B120,'Ingredient Prices'!$A:$I,9,FALSE),0)</f>
        <v/>
      </c>
      <c r="F120" s="9">
        <f>IF(ISNUMBER(E120),C120*E120,0)</f>
        <v/>
      </c>
      <c r="G120" s="11" t="inlineStr"/>
    </row>
    <row r="121">
      <c r="A121" s="8" t="inlineStr">
        <is>
          <t>Galak - White Chocolate</t>
        </is>
      </c>
      <c r="B121" s="8" t="inlineStr">
        <is>
          <t>Galak White Chocolate</t>
        </is>
      </c>
      <c r="C121" s="8" t="n">
        <v>1</v>
      </c>
      <c r="D121" s="8" t="inlineStr">
        <is>
          <t>each</t>
        </is>
      </c>
      <c r="E121" s="12">
        <f>IFERROR(VLOOKUP($B121,'Ingredient Prices'!$A:$I,9,FALSE),0)</f>
        <v/>
      </c>
      <c r="F121" s="9">
        <f>IF(ISNUMBER(E121),C121*E121,0)</f>
        <v/>
      </c>
      <c r="G121" s="11" t="inlineStr"/>
    </row>
  </sheetData>
  <dataValidations count="1">
    <dataValidation sqref="B5:B161" showDropDown="0" showInputMessage="0" showErrorMessage="0" allowBlank="1" type="list">
      <formula1>='Ingredient Prices'!$A$5:$A$54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2" customWidth="1" min="3" max="3"/>
    <col width="20" customWidth="1" min="4" max="4"/>
    <col width="22" customWidth="1" min="5" max="5"/>
    <col width="11" customWidth="1" min="6" max="6"/>
    <col width="10" customWidth="1" min="7" max="7"/>
    <col width="7" customWidth="1" min="8" max="8"/>
    <col width="11" customWidth="1" min="9" max="9"/>
    <col width="14" customWidth="1" min="10" max="10"/>
    <col width="46" customWidth="1" min="11" max="11"/>
  </cols>
  <sheetData>
    <row r="1">
      <c r="A1" s="1" t="inlineStr">
        <is>
          <t>Ingredient Prices - from supplier invoices (Jun 12 - Jul 9, 2026)</t>
        </is>
      </c>
    </row>
    <row r="2">
      <c r="A2" s="2" t="inlineStr">
        <is>
          <t>Unit Cost = Pack Price / Yield Qty. Yellow = invoice price but pack size assumed (verify). Orange = no recent invoice, market ESTIMATE (replace). Dark orange = price unreadable on scan (enter it).</t>
        </is>
      </c>
    </row>
    <row r="4">
      <c r="A4" s="3" t="inlineStr">
        <is>
          <t>Ingredient</t>
        </is>
      </c>
      <c r="B4" s="3" t="inlineStr">
        <is>
          <t>Vendor</t>
        </is>
      </c>
      <c r="C4" s="3" t="inlineStr">
        <is>
          <t>Last Invoice</t>
        </is>
      </c>
      <c r="D4" s="3" t="inlineStr">
        <is>
          <t>Invoice #</t>
        </is>
      </c>
      <c r="E4" s="3" t="inlineStr">
        <is>
          <t>Pack</t>
        </is>
      </c>
      <c r="F4" s="3" t="inlineStr">
        <is>
          <t>Pack Price</t>
        </is>
      </c>
      <c r="G4" s="3" t="inlineStr">
        <is>
          <t>Yield Qty</t>
        </is>
      </c>
      <c r="H4" s="3" t="inlineStr">
        <is>
          <t>Unit</t>
        </is>
      </c>
      <c r="I4" s="3" t="inlineStr">
        <is>
          <t>Unit Cost</t>
        </is>
      </c>
      <c r="J4" s="3" t="inlineStr">
        <is>
          <t>Status</t>
        </is>
      </c>
      <c r="K4" s="3" t="inlineStr">
        <is>
          <t>Notes</t>
        </is>
      </c>
    </row>
    <row r="5">
      <c r="A5" s="8" t="inlineStr">
        <is>
          <t>Tequenos (frozen)</t>
        </is>
      </c>
      <c r="B5" s="8" t="inlineStr">
        <is>
          <t>Latin Market Mana</t>
        </is>
      </c>
      <c r="C5" s="8" t="inlineStr">
        <is>
          <t>2026-07-07</t>
        </is>
      </c>
      <c r="D5" s="8" t="inlineStr">
        <is>
          <t>SVFPDYSHPK2NC</t>
        </is>
      </c>
      <c r="E5" s="8" t="inlineStr">
        <is>
          <t>160 units/case</t>
        </is>
      </c>
      <c r="F5" s="9" t="n">
        <v>87.75</v>
      </c>
      <c r="G5" s="8" t="n">
        <v>160</v>
      </c>
      <c r="H5" s="8" t="inlineStr">
        <is>
          <t>each</t>
        </is>
      </c>
      <c r="I5" s="12">
        <f>IF(AND(ISNUMBER(F5),ISNUMBER(G5),G5&gt;0),F5/G5,"")</f>
        <v/>
      </c>
      <c r="J5" s="8" t="inlineStr">
        <is>
          <t>INVOICE</t>
        </is>
      </c>
      <c r="K5" s="11" t="inlineStr"/>
    </row>
    <row r="6">
      <c r="A6" s="13" t="inlineStr">
        <is>
          <t>Cachapa pack (Palmita, w/ queso)</t>
        </is>
      </c>
      <c r="B6" s="13" t="inlineStr">
        <is>
          <t>Latin Market Mana</t>
        </is>
      </c>
      <c r="C6" s="13" t="inlineStr">
        <is>
          <t>2026-07-07</t>
        </is>
      </c>
      <c r="D6" s="13" t="inlineStr">
        <is>
          <t>SVFPDYSHPK2NC</t>
        </is>
      </c>
      <c r="E6" s="13" t="inlineStr">
        <is>
          <t>1 pack</t>
        </is>
      </c>
      <c r="F6" s="14" t="n">
        <v>13.99</v>
      </c>
      <c r="G6" s="13" t="n">
        <v>1</v>
      </c>
      <c r="H6" s="13" t="inlineStr">
        <is>
          <t>pack</t>
        </is>
      </c>
      <c r="I6" s="15">
        <f>IF(AND(ISNUMBER(F6),ISNUMBER(G6),G6&gt;0),F6/G6,"")</f>
        <v/>
      </c>
      <c r="J6" s="13" t="inlineStr">
        <is>
          <t>CHECK</t>
        </is>
      </c>
      <c r="K6" s="16" t="inlineStr">
        <is>
          <t>How many cachapas per pack? Update yield qty.</t>
        </is>
      </c>
    </row>
    <row r="7">
      <c r="A7" s="8" t="inlineStr">
        <is>
          <t>Queso de Mano</t>
        </is>
      </c>
      <c r="B7" s="8" t="inlineStr">
        <is>
          <t>Latin Market Mana</t>
        </is>
      </c>
      <c r="C7" s="8" t="inlineStr">
        <is>
          <t>2026-07-07</t>
        </is>
      </c>
      <c r="D7" s="8" t="inlineStr">
        <is>
          <t>SVFPDYSHPK2NC</t>
        </is>
      </c>
      <c r="E7" s="8" t="inlineStr">
        <is>
          <t>26 oz wheel</t>
        </is>
      </c>
      <c r="F7" s="9" t="n">
        <v>11</v>
      </c>
      <c r="G7" s="8" t="n">
        <v>26</v>
      </c>
      <c r="H7" s="8" t="inlineStr">
        <is>
          <t>oz</t>
        </is>
      </c>
      <c r="I7" s="12">
        <f>IF(AND(ISNUMBER(F7),ISNUMBER(G7),G7&gt;0),F7/G7,"")</f>
        <v/>
      </c>
      <c r="J7" s="8" t="inlineStr">
        <is>
          <t>INVOICE</t>
        </is>
      </c>
      <c r="K7" s="11" t="inlineStr"/>
    </row>
    <row r="8">
      <c r="A8" s="8" t="inlineStr">
        <is>
          <t>Nata (crema)</t>
        </is>
      </c>
      <c r="B8" s="8" t="inlineStr">
        <is>
          <t>Latin Market Mana</t>
        </is>
      </c>
      <c r="C8" s="8" t="inlineStr">
        <is>
          <t>2026-07-07</t>
        </is>
      </c>
      <c r="D8" s="8" t="inlineStr">
        <is>
          <t>SVFPDYSHPK2NC</t>
        </is>
      </c>
      <c r="E8" s="8" t="inlineStr">
        <is>
          <t>32 lb tub</t>
        </is>
      </c>
      <c r="F8" s="9" t="n">
        <v>116</v>
      </c>
      <c r="G8" s="8" t="n">
        <v>512</v>
      </c>
      <c r="H8" s="8" t="inlineStr">
        <is>
          <t>oz</t>
        </is>
      </c>
      <c r="I8" s="12">
        <f>IF(AND(ISNUMBER(F8),ISNUMBER(G8),G8&gt;0),F8/G8,"")</f>
        <v/>
      </c>
      <c r="J8" s="8" t="inlineStr">
        <is>
          <t>INVOICE</t>
        </is>
      </c>
      <c r="K8" s="11" t="inlineStr"/>
    </row>
    <row r="9">
      <c r="A9" s="8" t="inlineStr">
        <is>
          <t>Concentrado de Pina</t>
        </is>
      </c>
      <c r="B9" s="8" t="inlineStr">
        <is>
          <t>Latin Market Mana</t>
        </is>
      </c>
      <c r="C9" s="8" t="inlineStr">
        <is>
          <t>2026-07-07</t>
        </is>
      </c>
      <c r="D9" s="8" t="inlineStr">
        <is>
          <t>SVFPDYSHPK2NC</t>
        </is>
      </c>
      <c r="E9" s="8" t="inlineStr">
        <is>
          <t>1 gal</t>
        </is>
      </c>
      <c r="F9" s="9" t="n">
        <v>15.39</v>
      </c>
      <c r="G9" s="8" t="n">
        <v>128</v>
      </c>
      <c r="H9" s="8" t="inlineStr">
        <is>
          <t>fl oz</t>
        </is>
      </c>
      <c r="I9" s="12">
        <f>IF(AND(ISNUMBER(F9),ISNUMBER(G9),G9&gt;0),F9/G9,"")</f>
        <v/>
      </c>
      <c r="J9" s="8" t="inlineStr">
        <is>
          <t>INVOICE</t>
        </is>
      </c>
      <c r="K9" s="11" t="inlineStr"/>
    </row>
    <row r="10">
      <c r="A10" s="8" t="inlineStr">
        <is>
          <t>Concentrado de Parchita</t>
        </is>
      </c>
      <c r="B10" s="8" t="inlineStr">
        <is>
          <t>Latin Market Mana</t>
        </is>
      </c>
      <c r="C10" s="8" t="inlineStr">
        <is>
          <t>2026-07-04</t>
        </is>
      </c>
      <c r="D10" s="8" t="inlineStr">
        <is>
          <t>0RJ9HAABW6KF8</t>
        </is>
      </c>
      <c r="E10" s="8" t="inlineStr">
        <is>
          <t>1 gal</t>
        </is>
      </c>
      <c r="F10" s="9" t="n">
        <v>15.39</v>
      </c>
      <c r="G10" s="8" t="n">
        <v>128</v>
      </c>
      <c r="H10" s="8" t="inlineStr">
        <is>
          <t>fl oz</t>
        </is>
      </c>
      <c r="I10" s="12">
        <f>IF(AND(ISNUMBER(F10),ISNUMBER(G10),G10&gt;0),F10/G10,"")</f>
        <v/>
      </c>
      <c r="J10" s="8" t="inlineStr">
        <is>
          <t>INVOICE</t>
        </is>
      </c>
      <c r="K10" s="11" t="inlineStr"/>
    </row>
    <row r="11">
      <c r="A11" s="8" t="inlineStr">
        <is>
          <t>Frescolita (12 oz can)</t>
        </is>
      </c>
      <c r="B11" s="8" t="inlineStr">
        <is>
          <t>Latin Market Mana</t>
        </is>
      </c>
      <c r="C11" s="8" t="inlineStr">
        <is>
          <t>2026-06-23</t>
        </is>
      </c>
      <c r="D11" s="8" t="inlineStr">
        <is>
          <t>PSEKS3P317GJR</t>
        </is>
      </c>
      <c r="E11" s="8" t="inlineStr">
        <is>
          <t>24-can case</t>
        </is>
      </c>
      <c r="F11" s="9" t="n">
        <v>23</v>
      </c>
      <c r="G11" s="8" t="n">
        <v>24</v>
      </c>
      <c r="H11" s="8" t="inlineStr">
        <is>
          <t>each</t>
        </is>
      </c>
      <c r="I11" s="12">
        <f>IF(AND(ISNUMBER(F11),ISNUMBER(G11),G11&gt;0),F11/G11,"")</f>
        <v/>
      </c>
      <c r="J11" s="8" t="inlineStr">
        <is>
          <t>INVOICE</t>
        </is>
      </c>
      <c r="K11" s="11" t="inlineStr"/>
    </row>
    <row r="12">
      <c r="A12" s="8" t="inlineStr">
        <is>
          <t>Cocosette</t>
        </is>
      </c>
      <c r="B12" s="8" t="inlineStr">
        <is>
          <t>Latin Market Mana</t>
        </is>
      </c>
      <c r="C12" s="8" t="inlineStr">
        <is>
          <t>2026-06-12</t>
        </is>
      </c>
      <c r="D12" s="8" t="inlineStr">
        <is>
          <t>VA375MKQ3HGWG</t>
        </is>
      </c>
      <c r="E12" s="8" t="inlineStr">
        <is>
          <t>18 x 50 g</t>
        </is>
      </c>
      <c r="F12" s="9" t="n">
        <v>14.73</v>
      </c>
      <c r="G12" s="8" t="n">
        <v>18</v>
      </c>
      <c r="H12" s="8" t="inlineStr">
        <is>
          <t>each</t>
        </is>
      </c>
      <c r="I12" s="12">
        <f>IF(AND(ISNUMBER(F12),ISNUMBER(G12),G12&gt;0),F12/G12,"")</f>
        <v/>
      </c>
      <c r="J12" s="8" t="inlineStr">
        <is>
          <t>INVOICE</t>
        </is>
      </c>
      <c r="K12" s="11" t="inlineStr"/>
    </row>
    <row r="13">
      <c r="A13" s="8" t="inlineStr">
        <is>
          <t>Samba (Strawberry)</t>
        </is>
      </c>
      <c r="B13" s="8" t="inlineStr">
        <is>
          <t>Latin Market Mana</t>
        </is>
      </c>
      <c r="C13" s="8" t="inlineStr">
        <is>
          <t>2026-06-12</t>
        </is>
      </c>
      <c r="D13" s="8" t="inlineStr">
        <is>
          <t>VA375MKQ3HGWG</t>
        </is>
      </c>
      <c r="E13" s="8" t="inlineStr">
        <is>
          <t>20 x 32 g</t>
        </is>
      </c>
      <c r="F13" s="9" t="n">
        <v>18.81</v>
      </c>
      <c r="G13" s="8" t="n">
        <v>20</v>
      </c>
      <c r="H13" s="8" t="inlineStr">
        <is>
          <t>each</t>
        </is>
      </c>
      <c r="I13" s="12">
        <f>IF(AND(ISNUMBER(F13),ISNUMBER(G13),G13&gt;0),F13/G13,"")</f>
        <v/>
      </c>
      <c r="J13" s="8" t="inlineStr">
        <is>
          <t>INVOICE</t>
        </is>
      </c>
      <c r="K13" s="11" t="inlineStr"/>
    </row>
    <row r="14">
      <c r="A14" s="8" t="inlineStr">
        <is>
          <t>Cri-Cri</t>
        </is>
      </c>
      <c r="B14" s="8" t="inlineStr">
        <is>
          <t>Latin Market Mana</t>
        </is>
      </c>
      <c r="C14" s="8" t="inlineStr">
        <is>
          <t>2026-06-12</t>
        </is>
      </c>
      <c r="D14" s="8" t="inlineStr">
        <is>
          <t>VA375MKQ3HGWG</t>
        </is>
      </c>
      <c r="E14" s="8" t="inlineStr">
        <is>
          <t>12 x 27 g</t>
        </is>
      </c>
      <c r="F14" s="9" t="n">
        <v>11.93</v>
      </c>
      <c r="G14" s="8" t="n">
        <v>12</v>
      </c>
      <c r="H14" s="8" t="inlineStr">
        <is>
          <t>each</t>
        </is>
      </c>
      <c r="I14" s="12">
        <f>IF(AND(ISNUMBER(F14),ISNUMBER(G14),G14&gt;0),F14/G14,"")</f>
        <v/>
      </c>
      <c r="J14" s="8" t="inlineStr">
        <is>
          <t>INVOICE</t>
        </is>
      </c>
      <c r="K14" s="11" t="inlineStr"/>
    </row>
    <row r="15">
      <c r="A15" s="8" t="inlineStr">
        <is>
          <t>Savoy Chocolate de Leche</t>
        </is>
      </c>
      <c r="B15" s="8" t="inlineStr">
        <is>
          <t>Latin Market Mana</t>
        </is>
      </c>
      <c r="C15" s="8" t="inlineStr">
        <is>
          <t>2026-06-12</t>
        </is>
      </c>
      <c r="D15" s="8" t="inlineStr">
        <is>
          <t>VA375MKQ3HGWG</t>
        </is>
      </c>
      <c r="E15" s="8" t="inlineStr">
        <is>
          <t>12 x 30 g</t>
        </is>
      </c>
      <c r="F15" s="9" t="n">
        <v>13.5</v>
      </c>
      <c r="G15" s="8" t="n">
        <v>12</v>
      </c>
      <c r="H15" s="8" t="inlineStr">
        <is>
          <t>each</t>
        </is>
      </c>
      <c r="I15" s="12">
        <f>IF(AND(ISNUMBER(F15),ISNUMBER(G15),G15&gt;0),F15/G15,"")</f>
        <v/>
      </c>
      <c r="J15" s="8" t="inlineStr">
        <is>
          <t>INVOICE</t>
        </is>
      </c>
      <c r="K15" s="11" t="inlineStr"/>
    </row>
    <row r="16">
      <c r="A16" s="8" t="inlineStr">
        <is>
          <t>Galak White Chocolate</t>
        </is>
      </c>
      <c r="B16" s="8" t="inlineStr">
        <is>
          <t>Latin Market Mana</t>
        </is>
      </c>
      <c r="C16" s="8" t="inlineStr">
        <is>
          <t>2026-06-12</t>
        </is>
      </c>
      <c r="D16" s="8" t="inlineStr">
        <is>
          <t>VA375MKQ3HGWG</t>
        </is>
      </c>
      <c r="E16" s="8" t="inlineStr">
        <is>
          <t>12 x 30 g</t>
        </is>
      </c>
      <c r="F16" s="9" t="n">
        <v>11.93</v>
      </c>
      <c r="G16" s="8" t="n">
        <v>12</v>
      </c>
      <c r="H16" s="8" t="inlineStr">
        <is>
          <t>each</t>
        </is>
      </c>
      <c r="I16" s="12">
        <f>IF(AND(ISNUMBER(F16),ISNUMBER(G16),G16&gt;0),F16/G16,"")</f>
        <v/>
      </c>
      <c r="J16" s="8" t="inlineStr">
        <is>
          <t>INVOICE</t>
        </is>
      </c>
      <c r="K16" s="11" t="inlineStr"/>
    </row>
    <row r="17">
      <c r="A17" s="8" t="inlineStr">
        <is>
          <t>Pirucream (300 g can)</t>
        </is>
      </c>
      <c r="B17" s="8" t="inlineStr">
        <is>
          <t>Latin Market Mana</t>
        </is>
      </c>
      <c r="C17" s="8" t="inlineStr">
        <is>
          <t>2026-06-12</t>
        </is>
      </c>
      <c r="D17" s="8" t="inlineStr">
        <is>
          <t>VA375MKQ3HGWG</t>
        </is>
      </c>
      <c r="E17" s="8" t="inlineStr">
        <is>
          <t>300 g can</t>
        </is>
      </c>
      <c r="F17" s="9" t="n">
        <v>6.97</v>
      </c>
      <c r="G17" s="8" t="n">
        <v>1</v>
      </c>
      <c r="H17" s="8" t="inlineStr">
        <is>
          <t>each</t>
        </is>
      </c>
      <c r="I17" s="12">
        <f>IF(AND(ISNUMBER(F17),ISNUMBER(G17),G17&gt;0),F17/G17,"")</f>
        <v/>
      </c>
      <c r="J17" s="8" t="inlineStr">
        <is>
          <t>INVOICE</t>
        </is>
      </c>
      <c r="K17" s="11" t="inlineStr"/>
    </row>
    <row r="18">
      <c r="A18" s="8" t="inlineStr">
        <is>
          <t>Beef rib lifter meat (raw)</t>
        </is>
      </c>
      <c r="B18" s="8" t="inlineStr">
        <is>
          <t>US Foods</t>
        </is>
      </c>
      <c r="C18" s="8" t="inlineStr">
        <is>
          <t>2026-07-09</t>
        </is>
      </c>
      <c r="D18" s="8" t="inlineStr">
        <is>
          <t>3190-0146</t>
        </is>
      </c>
      <c r="E18" s="8" t="inlineStr">
        <is>
          <t>catch weight, $/lb</t>
        </is>
      </c>
      <c r="F18" s="9" t="n">
        <v>6.23</v>
      </c>
      <c r="G18" s="8" t="n">
        <v>16</v>
      </c>
      <c r="H18" s="8" t="inlineStr">
        <is>
          <t>oz</t>
        </is>
      </c>
      <c r="I18" s="12">
        <f>IF(AND(ISNUMBER(F18),ISNUMBER(G18),G18&gt;0),F18/G18,"")</f>
        <v/>
      </c>
      <c r="J18" s="8" t="inlineStr">
        <is>
          <t>INVOICE</t>
        </is>
      </c>
      <c r="K18" s="11" t="inlineStr">
        <is>
          <t>162.2 lb delivered on last invoice</t>
        </is>
      </c>
    </row>
    <row r="19">
      <c r="A19" s="13" t="inlineStr">
        <is>
          <t>Chicken breast jumbo (raw)</t>
        </is>
      </c>
      <c r="B19" s="13" t="inlineStr">
        <is>
          <t>US Foods</t>
        </is>
      </c>
      <c r="C19" s="13" t="inlineStr">
        <is>
          <t>2026-07-09</t>
        </is>
      </c>
      <c r="D19" s="13" t="inlineStr">
        <is>
          <t>3190-0146</t>
        </is>
      </c>
      <c r="E19" s="13" t="inlineStr">
        <is>
          <t>4/10 lb case</t>
        </is>
      </c>
      <c r="F19" s="14" t="n">
        <v>107.34</v>
      </c>
      <c r="G19" s="13" t="n">
        <v>640</v>
      </c>
      <c r="H19" s="13" t="inlineStr">
        <is>
          <t>oz</t>
        </is>
      </c>
      <c r="I19" s="15">
        <f>IF(AND(ISNUMBER(F19),ISNUMBER(G19),G19&gt;0),F19/G19,"")</f>
        <v/>
      </c>
      <c r="J19" s="13" t="inlineStr">
        <is>
          <t>CHECK</t>
        </is>
      </c>
      <c r="K19" s="16" t="inlineStr">
        <is>
          <t>Extended price partly unreadable on scan - verify $107.34/case</t>
        </is>
      </c>
    </row>
    <row r="20">
      <c r="A20" s="13" t="inlineStr">
        <is>
          <t>Cheddar shredded</t>
        </is>
      </c>
      <c r="B20" s="13" t="inlineStr">
        <is>
          <t>US Foods</t>
        </is>
      </c>
      <c r="C20" s="13" t="inlineStr">
        <is>
          <t>2026-07-09</t>
        </is>
      </c>
      <c r="D20" s="13" t="inlineStr">
        <is>
          <t>3190-0146</t>
        </is>
      </c>
      <c r="E20" s="13" t="inlineStr">
        <is>
          <t>4/5 lb case</t>
        </is>
      </c>
      <c r="F20" s="14" t="n">
        <v>139.18</v>
      </c>
      <c r="G20" s="13" t="n">
        <v>320</v>
      </c>
      <c r="H20" s="13" t="inlineStr">
        <is>
          <t>oz</t>
        </is>
      </c>
      <c r="I20" s="15">
        <f>IF(AND(ISNUMBER(F20),ISNUMBER(G20),G20&gt;0),F20/G20,"")</f>
        <v/>
      </c>
      <c r="J20" s="13" t="inlineStr">
        <is>
          <t>CHECK</t>
        </is>
      </c>
      <c r="K20" s="16" t="inlineStr">
        <is>
          <t>Extended price partly unreadable on scan - verify $139.18/case</t>
        </is>
      </c>
    </row>
    <row r="21">
      <c r="A21" s="8" t="inlineStr">
        <is>
          <t>Frying shortening (canola liquid)</t>
        </is>
      </c>
      <c r="B21" s="8" t="inlineStr">
        <is>
          <t>US Foods</t>
        </is>
      </c>
      <c r="C21" s="8" t="inlineStr">
        <is>
          <t>2026-07-09</t>
        </is>
      </c>
      <c r="D21" s="8" t="inlineStr">
        <is>
          <t>3190-0146</t>
        </is>
      </c>
      <c r="E21" s="8" t="inlineStr">
        <is>
          <t>35 lb case</t>
        </is>
      </c>
      <c r="F21" s="9" t="n">
        <v>42.04</v>
      </c>
      <c r="G21" s="8" t="n">
        <v>560</v>
      </c>
      <c r="H21" s="8" t="inlineStr">
        <is>
          <t>oz</t>
        </is>
      </c>
      <c r="I21" s="12">
        <f>IF(AND(ISNUMBER(F21),ISNUMBER(G21),G21&gt;0),F21/G21,"")</f>
        <v/>
      </c>
      <c r="J21" s="8" t="inlineStr">
        <is>
          <t>INVOICE</t>
        </is>
      </c>
      <c r="K21" s="11" t="inlineStr"/>
    </row>
    <row r="22">
      <c r="A22" s="13" t="inlineStr">
        <is>
          <t>Red bell pepper (morron)</t>
        </is>
      </c>
      <c r="B22" s="13" t="inlineStr">
        <is>
          <t>Mission &amp; Vegetable</t>
        </is>
      </c>
      <c r="C22" s="13" t="inlineStr">
        <is>
          <t>2026-07-09</t>
        </is>
      </c>
      <c r="D22" s="13" t="inlineStr">
        <is>
          <t>41123</t>
        </is>
      </c>
      <c r="E22" s="13" t="inlineStr">
        <is>
          <t>case (~25 lb assumed)</t>
        </is>
      </c>
      <c r="F22" s="14" t="n">
        <v>38.75</v>
      </c>
      <c r="G22" s="13" t="n">
        <v>400</v>
      </c>
      <c r="H22" s="13" t="inlineStr">
        <is>
          <t>oz</t>
        </is>
      </c>
      <c r="I22" s="15">
        <f>IF(AND(ISNUMBER(F22),ISNUMBER(G22),G22&gt;0),F22/G22,"")</f>
        <v/>
      </c>
      <c r="J22" s="13" t="inlineStr">
        <is>
          <t>CHECK</t>
        </is>
      </c>
      <c r="K22" s="16" t="inlineStr">
        <is>
          <t>Case weight not on invoice - assumed 25 lb</t>
        </is>
      </c>
    </row>
    <row r="23">
      <c r="A23" s="13" t="inlineStr">
        <is>
          <t>Yellow onion</t>
        </is>
      </c>
      <c r="B23" s="13" t="inlineStr">
        <is>
          <t>Mission &amp; Vegetable</t>
        </is>
      </c>
      <c r="C23" s="13" t="inlineStr">
        <is>
          <t>2026-07-09</t>
        </is>
      </c>
      <c r="D23" s="13" t="inlineStr">
        <is>
          <t>41123</t>
        </is>
      </c>
      <c r="E23" s="13" t="inlineStr">
        <is>
          <t>sack (~50 lb assumed)</t>
        </is>
      </c>
      <c r="F23" s="14" t="n">
        <v>25.75</v>
      </c>
      <c r="G23" s="13" t="n">
        <v>800</v>
      </c>
      <c r="H23" s="13" t="inlineStr">
        <is>
          <t>oz</t>
        </is>
      </c>
      <c r="I23" s="15">
        <f>IF(AND(ISNUMBER(F23),ISNUMBER(G23),G23&gt;0),F23/G23,"")</f>
        <v/>
      </c>
      <c r="J23" s="13" t="inlineStr">
        <is>
          <t>CHECK</t>
        </is>
      </c>
      <c r="K23" s="16" t="inlineStr">
        <is>
          <t>Sack weight not on invoice - assumed 50 lb</t>
        </is>
      </c>
    </row>
    <row r="24">
      <c r="A24" s="13" t="inlineStr">
        <is>
          <t>Apio (celery)</t>
        </is>
      </c>
      <c r="B24" s="13" t="inlineStr">
        <is>
          <t>Mission &amp; Vegetable</t>
        </is>
      </c>
      <c r="C24" s="13" t="inlineStr">
        <is>
          <t>2026-07-09</t>
        </is>
      </c>
      <c r="D24" s="13" t="inlineStr">
        <is>
          <t>41123</t>
        </is>
      </c>
      <c r="E24" s="13" t="inlineStr">
        <is>
          <t>case (~28 lb assumed)</t>
        </is>
      </c>
      <c r="F24" s="14" t="n">
        <v>27.75</v>
      </c>
      <c r="G24" s="13" t="n">
        <v>448</v>
      </c>
      <c r="H24" s="13" t="inlineStr">
        <is>
          <t>oz</t>
        </is>
      </c>
      <c r="I24" s="15">
        <f>IF(AND(ISNUMBER(F24),ISNUMBER(G24),G24&gt;0),F24/G24,"")</f>
        <v/>
      </c>
      <c r="J24" s="13" t="inlineStr">
        <is>
          <t>CHECK</t>
        </is>
      </c>
      <c r="K24" s="16" t="inlineStr">
        <is>
          <t>Case weight not on invoice - assumed 28 lb</t>
        </is>
      </c>
    </row>
    <row r="25">
      <c r="A25" s="8" t="inlineStr">
        <is>
          <t>Avocado (#48 case)</t>
        </is>
      </c>
      <c r="B25" s="8" t="inlineStr">
        <is>
          <t>Mission &amp; Vegetable</t>
        </is>
      </c>
      <c r="C25" s="8" t="inlineStr">
        <is>
          <t>2026-07-09</t>
        </is>
      </c>
      <c r="D25" s="8" t="inlineStr">
        <is>
          <t>41123</t>
        </is>
      </c>
      <c r="E25" s="8" t="inlineStr">
        <is>
          <t>48-count case</t>
        </is>
      </c>
      <c r="F25" s="9" t="n">
        <v>46.75</v>
      </c>
      <c r="G25" s="8" t="n">
        <v>48</v>
      </c>
      <c r="H25" s="8" t="inlineStr">
        <is>
          <t>each</t>
        </is>
      </c>
      <c r="I25" s="12">
        <f>IF(AND(ISNUMBER(F25),ISNUMBER(G25),G25&gt;0),F25/G25,"")</f>
        <v/>
      </c>
      <c r="J25" s="8" t="inlineStr">
        <is>
          <t>INVOICE</t>
        </is>
      </c>
      <c r="K25" s="11" t="inlineStr"/>
    </row>
    <row r="26">
      <c r="A26" s="13" t="inlineStr">
        <is>
          <t>Habanero</t>
        </is>
      </c>
      <c r="B26" s="13" t="inlineStr">
        <is>
          <t>Mission &amp; Vegetable</t>
        </is>
      </c>
      <c r="C26" s="13" t="inlineStr">
        <is>
          <t>2026-06-25</t>
        </is>
      </c>
      <c r="D26" s="13" t="inlineStr">
        <is>
          <t>40457</t>
        </is>
      </c>
      <c r="E26" s="13" t="inlineStr">
        <is>
          <t>case (~8 lb assumed)</t>
        </is>
      </c>
      <c r="F26" s="14" t="n">
        <v>43.75</v>
      </c>
      <c r="G26" s="13" t="n">
        <v>128</v>
      </c>
      <c r="H26" s="13" t="inlineStr">
        <is>
          <t>oz</t>
        </is>
      </c>
      <c r="I26" s="15">
        <f>IF(AND(ISNUMBER(F26),ISNUMBER(G26),G26&gt;0),F26/G26,"")</f>
        <v/>
      </c>
      <c r="J26" s="13" t="inlineStr">
        <is>
          <t>CHECK</t>
        </is>
      </c>
      <c r="K26" s="16" t="inlineStr">
        <is>
          <t>Case weight not on invoice - assumed 8 lb</t>
        </is>
      </c>
    </row>
    <row r="27">
      <c r="A27" s="8" t="inlineStr">
        <is>
          <t>Mayonnaise</t>
        </is>
      </c>
      <c r="B27" s="8" t="inlineStr">
        <is>
          <t>Restaurant Depot</t>
        </is>
      </c>
      <c r="C27" s="8" t="inlineStr">
        <is>
          <t>2026-07-06</t>
        </is>
      </c>
      <c r="D27" s="8" t="inlineStr">
        <is>
          <t>20544606249422176</t>
        </is>
      </c>
      <c r="E27" s="8" t="inlineStr">
        <is>
          <t>4 x 1 gal</t>
        </is>
      </c>
      <c r="F27" s="9" t="n">
        <v>44.55</v>
      </c>
      <c r="G27" s="8" t="n">
        <v>512</v>
      </c>
      <c r="H27" s="8" t="inlineStr">
        <is>
          <t>fl oz</t>
        </is>
      </c>
      <c r="I27" s="12">
        <f>IF(AND(ISNUMBER(F27),ISNUMBER(G27),G27&gt;0),F27/G27,"")</f>
        <v/>
      </c>
      <c r="J27" s="8" t="inlineStr">
        <is>
          <t>INVOICE</t>
        </is>
      </c>
      <c r="K27" s="11" t="inlineStr"/>
    </row>
    <row r="28">
      <c r="A28" s="13" t="inlineStr">
        <is>
          <t>Black beans (cooked)</t>
        </is>
      </c>
      <c r="B28" s="13" t="inlineStr">
        <is>
          <t>Restaurant Depot</t>
        </is>
      </c>
      <c r="C28" s="13" t="inlineStr">
        <is>
          <t>2026-07-06</t>
        </is>
      </c>
      <c r="D28" s="13" t="inlineStr">
        <is>
          <t>20544606249422176</t>
        </is>
      </c>
      <c r="E28" s="13" t="inlineStr">
        <is>
          <t>25 lb dry bag</t>
        </is>
      </c>
      <c r="F28" s="14" t="n">
        <v>13.33</v>
      </c>
      <c r="G28" s="13" t="n">
        <v>880</v>
      </c>
      <c r="H28" s="13" t="inlineStr">
        <is>
          <t>oz</t>
        </is>
      </c>
      <c r="I28" s="15">
        <f>IF(AND(ISNUMBER(F28),ISNUMBER(G28),G28&gt;0),F28/G28,"")</f>
        <v/>
      </c>
      <c r="J28" s="13" t="inlineStr">
        <is>
          <t>CHECK</t>
        </is>
      </c>
      <c r="K28" s="16" t="inlineStr">
        <is>
          <t>25 lb dry x ~2.2 cooked yield = 55 lb cooked (880 oz)</t>
        </is>
      </c>
    </row>
    <row r="29">
      <c r="A29" s="13" t="inlineStr">
        <is>
          <t>Seasoning salt</t>
        </is>
      </c>
      <c r="B29" s="13" t="inlineStr">
        <is>
          <t>Restaurant Depot</t>
        </is>
      </c>
      <c r="C29" s="13" t="inlineStr">
        <is>
          <t>2026-07-06</t>
        </is>
      </c>
      <c r="D29" s="13" t="inlineStr">
        <is>
          <t>20544606249422176</t>
        </is>
      </c>
      <c r="E29" s="13" t="inlineStr">
        <is>
          <t>10 lb jar (substituted)</t>
        </is>
      </c>
      <c r="F29" s="14" t="n">
        <v>67.44</v>
      </c>
      <c r="G29" s="13" t="n">
        <v>160</v>
      </c>
      <c r="H29" s="13" t="inlineStr">
        <is>
          <t>oz</t>
        </is>
      </c>
      <c r="I29" s="15">
        <f>IF(AND(ISNUMBER(F29),ISNUMBER(G29),G29&gt;0),F29/G29,"")</f>
        <v/>
      </c>
      <c r="J29" s="13" t="inlineStr">
        <is>
          <t>CHECK</t>
        </is>
      </c>
      <c r="K29" s="16" t="inlineStr">
        <is>
          <t>20 lb was substituted w/ 10 lb jar - verify charge</t>
        </is>
      </c>
    </row>
    <row r="30">
      <c r="A30" s="8" t="inlineStr">
        <is>
          <t>Canola salad oil</t>
        </is>
      </c>
      <c r="B30" s="8" t="inlineStr">
        <is>
          <t>Restaurant Depot</t>
        </is>
      </c>
      <c r="C30" s="8" t="inlineStr">
        <is>
          <t>2026-07-06</t>
        </is>
      </c>
      <c r="D30" s="8" t="inlineStr">
        <is>
          <t>20544606249422176</t>
        </is>
      </c>
      <c r="E30" s="8" t="inlineStr">
        <is>
          <t>35 lb</t>
        </is>
      </c>
      <c r="F30" s="9" t="n">
        <v>41.82</v>
      </c>
      <c r="G30" s="8" t="n">
        <v>560</v>
      </c>
      <c r="H30" s="8" t="inlineStr">
        <is>
          <t>oz</t>
        </is>
      </c>
      <c r="I30" s="12">
        <f>IF(AND(ISNUMBER(F30),ISNUMBER(G30),G30&gt;0),F30/G30,"")</f>
        <v/>
      </c>
      <c r="J30" s="8" t="inlineStr">
        <is>
          <t>INVOICE</t>
        </is>
      </c>
      <c r="K30" s="11" t="inlineStr"/>
    </row>
    <row r="31">
      <c r="A31" s="13" t="inlineStr">
        <is>
          <t>Peeled garlic</t>
        </is>
      </c>
      <c r="B31" s="13" t="inlineStr">
        <is>
          <t>Restaurant Depot</t>
        </is>
      </c>
      <c r="C31" s="13" t="inlineStr">
        <is>
          <t>2026-07-06</t>
        </is>
      </c>
      <c r="D31" s="13" t="inlineStr">
        <is>
          <t>20544606249422176</t>
        </is>
      </c>
      <c r="E31" s="13" t="inlineStr">
        <is>
          <t>jar (~5 lb assumed)</t>
        </is>
      </c>
      <c r="F31" s="14" t="n">
        <v>15.95</v>
      </c>
      <c r="G31" s="13" t="n">
        <v>80</v>
      </c>
      <c r="H31" s="13" t="inlineStr">
        <is>
          <t>oz</t>
        </is>
      </c>
      <c r="I31" s="15">
        <f>IF(AND(ISNUMBER(F31),ISNUMBER(G31),G31&gt;0),F31/G31,"")</f>
        <v/>
      </c>
      <c r="J31" s="13" t="inlineStr">
        <is>
          <t>CHECK</t>
        </is>
      </c>
      <c r="K31" s="16" t="inlineStr">
        <is>
          <t>Jar size not on receipt - assumed 5 lb</t>
        </is>
      </c>
    </row>
    <row r="32">
      <c r="A32" s="4" t="inlineStr">
        <is>
          <t>Yuca fries frozen</t>
        </is>
      </c>
      <c r="B32" s="4" t="inlineStr">
        <is>
          <t>US Foods (?)</t>
        </is>
      </c>
      <c r="C32" s="4" t="inlineStr">
        <is>
          <t>2026-06-29</t>
        </is>
      </c>
      <c r="D32" s="4" t="inlineStr">
        <is>
          <t>?</t>
        </is>
      </c>
      <c r="E32" s="4" t="inlineStr">
        <is>
          <t>20 x 1 lb</t>
        </is>
      </c>
      <c r="F32" s="5" t="n"/>
      <c r="G32" s="4" t="n">
        <v>320</v>
      </c>
      <c r="H32" s="4" t="inlineStr">
        <is>
          <t>oz</t>
        </is>
      </c>
      <c r="I32" s="17">
        <f>IF(AND(ISNUMBER(F32),ISNUMBER(G32),G32&gt;0),F32/G32,"")</f>
        <v/>
      </c>
      <c r="J32" s="4" t="inlineStr">
        <is>
          <t>PRICE NEEDED</t>
        </is>
      </c>
      <c r="K32" s="7" t="inlineStr">
        <is>
          <t>07-03 invoice scan unreadable - ENTER PACK PRICE</t>
        </is>
      </c>
    </row>
    <row r="33">
      <c r="A33" s="4" t="inlineStr">
        <is>
          <t>Sweet plantain IQF</t>
        </is>
      </c>
      <c r="B33" s="4" t="inlineStr">
        <is>
          <t>US Foods (?)</t>
        </is>
      </c>
      <c r="C33" s="4" t="inlineStr">
        <is>
          <t>2026-06-29</t>
        </is>
      </c>
      <c r="D33" s="4" t="inlineStr">
        <is>
          <t>?</t>
        </is>
      </c>
      <c r="E33" s="4" t="inlineStr">
        <is>
          <t>4 x 6 lb</t>
        </is>
      </c>
      <c r="F33" s="5" t="n"/>
      <c r="G33" s="4" t="n">
        <v>384</v>
      </c>
      <c r="H33" s="4" t="inlineStr">
        <is>
          <t>oz</t>
        </is>
      </c>
      <c r="I33" s="17">
        <f>IF(AND(ISNUMBER(F33),ISNUMBER(G33),G33&gt;0),F33/G33,"")</f>
        <v/>
      </c>
      <c r="J33" s="4" t="inlineStr">
        <is>
          <t>PRICE NEEDED</t>
        </is>
      </c>
      <c r="K33" s="7" t="inlineStr">
        <is>
          <t>07-03 invoice scan unreadable - ENTER PACK PRICE</t>
        </is>
      </c>
    </row>
    <row r="34">
      <c r="A34" s="18" t="inlineStr">
        <is>
          <t>Harina P.A.N. (cornmeal)</t>
        </is>
      </c>
      <c r="B34" s="18" t="inlineStr">
        <is>
          <t>-</t>
        </is>
      </c>
      <c r="C34" s="18" t="inlineStr">
        <is>
          <t>-</t>
        </is>
      </c>
      <c r="D34" s="18" t="inlineStr">
        <is>
          <t>-</t>
        </is>
      </c>
      <c r="E34" s="18" t="inlineStr">
        <is>
          <t>50 lb (ESTIMATE)</t>
        </is>
      </c>
      <c r="F34" s="19" t="n">
        <v>45</v>
      </c>
      <c r="G34" s="18" t="n">
        <v>800</v>
      </c>
      <c r="H34" s="18" t="inlineStr">
        <is>
          <t>oz</t>
        </is>
      </c>
      <c r="I34" s="20">
        <f>IF(AND(ISNUMBER(F34),ISNUMBER(G34),G34&gt;0),F34/G34,"")</f>
        <v/>
      </c>
      <c r="J34" s="18" t="inlineStr">
        <is>
          <t>ESTIMATE</t>
        </is>
      </c>
      <c r="K34" s="21" t="inlineStr">
        <is>
          <t>No invoice in last 30 days - replace with real price</t>
        </is>
      </c>
    </row>
    <row r="35">
      <c r="A35" s="18" t="inlineStr">
        <is>
          <t>White cheese (mozzarella/llanero)</t>
        </is>
      </c>
      <c r="B35" s="18" t="inlineStr">
        <is>
          <t>-</t>
        </is>
      </c>
      <c r="C35" s="18" t="inlineStr">
        <is>
          <t>-</t>
        </is>
      </c>
      <c r="D35" s="18" t="inlineStr">
        <is>
          <t>-</t>
        </is>
      </c>
      <c r="E35" s="18" t="inlineStr">
        <is>
          <t>per lb (ESTIMATE)</t>
        </is>
      </c>
      <c r="F35" s="19" t="n">
        <v>3.25</v>
      </c>
      <c r="G35" s="18" t="n">
        <v>16</v>
      </c>
      <c r="H35" s="18" t="inlineStr">
        <is>
          <t>oz</t>
        </is>
      </c>
      <c r="I35" s="20">
        <f>IF(AND(ISNUMBER(F35),ISNUMBER(G35),G35&gt;0),F35/G35,"")</f>
        <v/>
      </c>
      <c r="J35" s="18" t="inlineStr">
        <is>
          <t>ESTIMATE</t>
        </is>
      </c>
      <c r="K35" s="21" t="inlineStr">
        <is>
          <t>Replace with real price</t>
        </is>
      </c>
    </row>
    <row r="36">
      <c r="A36" s="18" t="inlineStr">
        <is>
          <t>Cotija cheese</t>
        </is>
      </c>
      <c r="B36" s="18" t="inlineStr">
        <is>
          <t>-</t>
        </is>
      </c>
      <c r="C36" s="18" t="inlineStr">
        <is>
          <t>-</t>
        </is>
      </c>
      <c r="D36" s="18" t="inlineStr">
        <is>
          <t>-</t>
        </is>
      </c>
      <c r="E36" s="18" t="inlineStr">
        <is>
          <t>per lb (ESTIMATE)</t>
        </is>
      </c>
      <c r="F36" s="19" t="n">
        <v>4.5</v>
      </c>
      <c r="G36" s="18" t="n">
        <v>16</v>
      </c>
      <c r="H36" s="18" t="inlineStr">
        <is>
          <t>oz</t>
        </is>
      </c>
      <c r="I36" s="20">
        <f>IF(AND(ISNUMBER(F36),ISNUMBER(G36),G36&gt;0),F36/G36,"")</f>
        <v/>
      </c>
      <c r="J36" s="18" t="inlineStr">
        <is>
          <t>ESTIMATE</t>
        </is>
      </c>
      <c r="K36" s="21" t="inlineStr">
        <is>
          <t>Replace with real price</t>
        </is>
      </c>
    </row>
    <row r="37">
      <c r="A37" s="18" t="inlineStr">
        <is>
          <t>Green plantain</t>
        </is>
      </c>
      <c r="B37" s="18" t="inlineStr">
        <is>
          <t>-</t>
        </is>
      </c>
      <c r="C37" s="18" t="inlineStr">
        <is>
          <t>-</t>
        </is>
      </c>
      <c r="D37" s="18" t="inlineStr">
        <is>
          <t>-</t>
        </is>
      </c>
      <c r="E37" s="18" t="inlineStr">
        <is>
          <t>each (ESTIMATE)</t>
        </is>
      </c>
      <c r="F37" s="19" t="n">
        <v>0.6</v>
      </c>
      <c r="G37" s="18" t="n">
        <v>1</v>
      </c>
      <c r="H37" s="18" t="inlineStr">
        <is>
          <t>each</t>
        </is>
      </c>
      <c r="I37" s="20">
        <f>IF(AND(ISNUMBER(F37),ISNUMBER(G37),G37&gt;0),F37/G37,"")</f>
        <v/>
      </c>
      <c r="J37" s="18" t="inlineStr">
        <is>
          <t>ESTIMATE</t>
        </is>
      </c>
      <c r="K37" s="21" t="inlineStr">
        <is>
          <t>Replace with real price</t>
        </is>
      </c>
    </row>
    <row r="38">
      <c r="A38" s="18" t="inlineStr">
        <is>
          <t>Lettuce</t>
        </is>
      </c>
      <c r="B38" s="18" t="inlineStr">
        <is>
          <t>-</t>
        </is>
      </c>
      <c r="C38" s="18" t="inlineStr">
        <is>
          <t>-</t>
        </is>
      </c>
      <c r="D38" s="18" t="inlineStr">
        <is>
          <t>-</t>
        </is>
      </c>
      <c r="E38" s="18" t="inlineStr">
        <is>
          <t>head (ESTIMATE)</t>
        </is>
      </c>
      <c r="F38" s="19" t="n">
        <v>2.5</v>
      </c>
      <c r="G38" s="18" t="n">
        <v>1</v>
      </c>
      <c r="H38" s="18" t="inlineStr">
        <is>
          <t>each</t>
        </is>
      </c>
      <c r="I38" s="20">
        <f>IF(AND(ISNUMBER(F38),ISNUMBER(G38),G38&gt;0),F38/G38,"")</f>
        <v/>
      </c>
      <c r="J38" s="18" t="inlineStr">
        <is>
          <t>ESTIMATE</t>
        </is>
      </c>
      <c r="K38" s="21" t="inlineStr">
        <is>
          <t>Replace with real price</t>
        </is>
      </c>
    </row>
    <row r="39">
      <c r="A39" s="18" t="inlineStr">
        <is>
          <t>Tomato</t>
        </is>
      </c>
      <c r="B39" s="18" t="inlineStr">
        <is>
          <t>-</t>
        </is>
      </c>
      <c r="C39" s="18" t="inlineStr">
        <is>
          <t>-</t>
        </is>
      </c>
      <c r="D39" s="18" t="inlineStr">
        <is>
          <t>-</t>
        </is>
      </c>
      <c r="E39" s="18" t="inlineStr">
        <is>
          <t>per lb (ESTIMATE)</t>
        </is>
      </c>
      <c r="F39" s="19" t="n">
        <v>1.8</v>
      </c>
      <c r="G39" s="18" t="n">
        <v>16</v>
      </c>
      <c r="H39" s="18" t="inlineStr">
        <is>
          <t>oz</t>
        </is>
      </c>
      <c r="I39" s="20">
        <f>IF(AND(ISNUMBER(F39),ISNUMBER(G39),G39&gt;0),F39/G39,"")</f>
        <v/>
      </c>
      <c r="J39" s="18" t="inlineStr">
        <is>
          <t>ESTIMATE</t>
        </is>
      </c>
      <c r="K39" s="21" t="inlineStr">
        <is>
          <t>Replace with real price</t>
        </is>
      </c>
    </row>
    <row r="40">
      <c r="A40" s="18" t="inlineStr">
        <is>
          <t>Cabbage</t>
        </is>
      </c>
      <c r="B40" s="18" t="inlineStr">
        <is>
          <t>-</t>
        </is>
      </c>
      <c r="C40" s="18" t="inlineStr">
        <is>
          <t>-</t>
        </is>
      </c>
      <c r="D40" s="18" t="inlineStr">
        <is>
          <t>-</t>
        </is>
      </c>
      <c r="E40" s="18" t="inlineStr">
        <is>
          <t>per lb (ESTIMATE)</t>
        </is>
      </c>
      <c r="F40" s="19" t="n">
        <v>0.9</v>
      </c>
      <c r="G40" s="18" t="n">
        <v>16</v>
      </c>
      <c r="H40" s="18" t="inlineStr">
        <is>
          <t>oz</t>
        </is>
      </c>
      <c r="I40" s="20">
        <f>IF(AND(ISNUMBER(F40),ISNUMBER(G40),G40&gt;0),F40/G40,"")</f>
        <v/>
      </c>
      <c r="J40" s="18" t="inlineStr">
        <is>
          <t>ESTIMATE</t>
        </is>
      </c>
      <c r="K40" s="21" t="inlineStr">
        <is>
          <t>Replace with real price</t>
        </is>
      </c>
    </row>
    <row r="41">
      <c r="A41" s="18" t="inlineStr">
        <is>
          <t>Carrot</t>
        </is>
      </c>
      <c r="B41" s="18" t="inlineStr">
        <is>
          <t>-</t>
        </is>
      </c>
      <c r="C41" s="18" t="inlineStr">
        <is>
          <t>-</t>
        </is>
      </c>
      <c r="D41" s="18" t="inlineStr">
        <is>
          <t>-</t>
        </is>
      </c>
      <c r="E41" s="18" t="inlineStr">
        <is>
          <t>per lb (ESTIMATE)</t>
        </is>
      </c>
      <c r="F41" s="19" t="n">
        <v>0.8</v>
      </c>
      <c r="G41" s="18" t="n">
        <v>16</v>
      </c>
      <c r="H41" s="18" t="inlineStr">
        <is>
          <t>oz</t>
        </is>
      </c>
      <c r="I41" s="20">
        <f>IF(AND(ISNUMBER(F41),ISNUMBER(G41),G41&gt;0),F41/G41,"")</f>
        <v/>
      </c>
      <c r="J41" s="18" t="inlineStr">
        <is>
          <t>ESTIMATE</t>
        </is>
      </c>
      <c r="K41" s="21" t="inlineStr">
        <is>
          <t>Replace with real price</t>
        </is>
      </c>
    </row>
    <row r="42">
      <c r="A42" s="18" t="inlineStr">
        <is>
          <t>Mustard</t>
        </is>
      </c>
      <c r="B42" s="18" t="inlineStr">
        <is>
          <t>-</t>
        </is>
      </c>
      <c r="C42" s="18" t="inlineStr">
        <is>
          <t>-</t>
        </is>
      </c>
      <c r="D42" s="18" t="inlineStr">
        <is>
          <t>-</t>
        </is>
      </c>
      <c r="E42" s="18" t="inlineStr">
        <is>
          <t>1 gal (ESTIMATE)</t>
        </is>
      </c>
      <c r="F42" s="19" t="n">
        <v>12</v>
      </c>
      <c r="G42" s="18" t="n">
        <v>128</v>
      </c>
      <c r="H42" s="18" t="inlineStr">
        <is>
          <t>fl oz</t>
        </is>
      </c>
      <c r="I42" s="20">
        <f>IF(AND(ISNUMBER(F42),ISNUMBER(G42),G42&gt;0),F42/G42,"")</f>
        <v/>
      </c>
      <c r="J42" s="18" t="inlineStr">
        <is>
          <t>ESTIMATE</t>
        </is>
      </c>
      <c r="K42" s="21" t="inlineStr">
        <is>
          <t>Replace with real price</t>
        </is>
      </c>
    </row>
    <row r="43">
      <c r="A43" s="18" t="inlineStr">
        <is>
          <t>Lime</t>
        </is>
      </c>
      <c r="B43" s="18" t="inlineStr">
        <is>
          <t>-</t>
        </is>
      </c>
      <c r="C43" s="18" t="inlineStr">
        <is>
          <t>-</t>
        </is>
      </c>
      <c r="D43" s="18" t="inlineStr">
        <is>
          <t>-</t>
        </is>
      </c>
      <c r="E43" s="18" t="inlineStr">
        <is>
          <t>each (ESTIMATE)</t>
        </is>
      </c>
      <c r="F43" s="19" t="n">
        <v>0.25</v>
      </c>
      <c r="G43" s="18" t="n">
        <v>1</v>
      </c>
      <c r="H43" s="18" t="inlineStr">
        <is>
          <t>each</t>
        </is>
      </c>
      <c r="I43" s="20">
        <f>IF(AND(ISNUMBER(F43),ISNUMBER(G43),G43&gt;0),F43/G43,"")</f>
        <v/>
      </c>
      <c r="J43" s="18" t="inlineStr">
        <is>
          <t>ESTIMATE</t>
        </is>
      </c>
      <c r="K43" s="21" t="inlineStr">
        <is>
          <t>Replace with real price</t>
        </is>
      </c>
    </row>
    <row r="44">
      <c r="A44" s="18" t="inlineStr">
        <is>
          <t>Papelon (panela)</t>
        </is>
      </c>
      <c r="B44" s="18" t="inlineStr">
        <is>
          <t>-</t>
        </is>
      </c>
      <c r="C44" s="18" t="inlineStr">
        <is>
          <t>-</t>
        </is>
      </c>
      <c r="D44" s="18" t="inlineStr">
        <is>
          <t>-</t>
        </is>
      </c>
      <c r="E44" s="18" t="inlineStr">
        <is>
          <t>per lb (ESTIMATE)</t>
        </is>
      </c>
      <c r="F44" s="19" t="n">
        <v>2.5</v>
      </c>
      <c r="G44" s="18" t="n">
        <v>16</v>
      </c>
      <c r="H44" s="18" t="inlineStr">
        <is>
          <t>oz</t>
        </is>
      </c>
      <c r="I44" s="20">
        <f>IF(AND(ISNUMBER(F44),ISNUMBER(G44),G44&gt;0),F44/G44,"")</f>
        <v/>
      </c>
      <c r="J44" s="18" t="inlineStr">
        <is>
          <t>ESTIMATE</t>
        </is>
      </c>
      <c r="K44" s="21" t="inlineStr">
        <is>
          <t>Replace with real price</t>
        </is>
      </c>
    </row>
    <row r="45">
      <c r="A45" s="18" t="inlineStr">
        <is>
          <t>Sugar</t>
        </is>
      </c>
      <c r="B45" s="18" t="inlineStr">
        <is>
          <t>-</t>
        </is>
      </c>
      <c r="C45" s="18" t="inlineStr">
        <is>
          <t>-</t>
        </is>
      </c>
      <c r="D45" s="18" t="inlineStr">
        <is>
          <t>-</t>
        </is>
      </c>
      <c r="E45" s="18" t="inlineStr">
        <is>
          <t>per lb (ESTIMATE)</t>
        </is>
      </c>
      <c r="F45" s="19" t="n">
        <v>0.6</v>
      </c>
      <c r="G45" s="18" t="n">
        <v>16</v>
      </c>
      <c r="H45" s="18" t="inlineStr">
        <is>
          <t>oz</t>
        </is>
      </c>
      <c r="I45" s="20">
        <f>IF(AND(ISNUMBER(F45),ISNUMBER(G45),G45&gt;0),F45/G45,"")</f>
        <v/>
      </c>
      <c r="J45" s="18" t="inlineStr">
        <is>
          <t>ESTIMATE</t>
        </is>
      </c>
      <c r="K45" s="21" t="inlineStr">
        <is>
          <t>Replace with real price</t>
        </is>
      </c>
    </row>
    <row r="46">
      <c r="A46" s="18" t="inlineStr">
        <is>
          <t>Butter</t>
        </is>
      </c>
      <c r="B46" s="18" t="inlineStr">
        <is>
          <t>-</t>
        </is>
      </c>
      <c r="C46" s="18" t="inlineStr">
        <is>
          <t>-</t>
        </is>
      </c>
      <c r="D46" s="18" t="inlineStr">
        <is>
          <t>-</t>
        </is>
      </c>
      <c r="E46" s="18" t="inlineStr">
        <is>
          <t>per lb (ESTIMATE)</t>
        </is>
      </c>
      <c r="F46" s="19" t="n">
        <v>3.5</v>
      </c>
      <c r="G46" s="18" t="n">
        <v>16</v>
      </c>
      <c r="H46" s="18" t="inlineStr">
        <is>
          <t>oz</t>
        </is>
      </c>
      <c r="I46" s="20">
        <f>IF(AND(ISNUMBER(F46),ISNUMBER(G46),G46&gt;0),F46/G46,"")</f>
        <v/>
      </c>
      <c r="J46" s="18" t="inlineStr">
        <is>
          <t>ESTIMATE</t>
        </is>
      </c>
      <c r="K46" s="21" t="inlineStr">
        <is>
          <t>Replace with real price</t>
        </is>
      </c>
    </row>
    <row r="47">
      <c r="A47" s="18" t="inlineStr">
        <is>
          <t>Malta Polar (12 oz can)</t>
        </is>
      </c>
      <c r="B47" s="18" t="inlineStr">
        <is>
          <t>-</t>
        </is>
      </c>
      <c r="C47" s="18" t="inlineStr">
        <is>
          <t>-</t>
        </is>
      </c>
      <c r="D47" s="18" t="inlineStr">
        <is>
          <t>-</t>
        </is>
      </c>
      <c r="E47" s="18" t="inlineStr">
        <is>
          <t>each (ESTIMATE)</t>
        </is>
      </c>
      <c r="F47" s="19" t="n">
        <v>1.2</v>
      </c>
      <c r="G47" s="18" t="n">
        <v>1</v>
      </c>
      <c r="H47" s="18" t="inlineStr">
        <is>
          <t>each</t>
        </is>
      </c>
      <c r="I47" s="20">
        <f>IF(AND(ISNUMBER(F47),ISNUMBER(G47),G47&gt;0),F47/G47,"")</f>
        <v/>
      </c>
      <c r="J47" s="18" t="inlineStr">
        <is>
          <t>ESTIMATE</t>
        </is>
      </c>
      <c r="K47" s="21" t="inlineStr">
        <is>
          <t>Replace with real price</t>
        </is>
      </c>
    </row>
    <row r="48">
      <c r="A48" s="18" t="inlineStr">
        <is>
          <t>Vegan mayo</t>
        </is>
      </c>
      <c r="B48" s="18" t="inlineStr">
        <is>
          <t>-</t>
        </is>
      </c>
      <c r="C48" s="18" t="inlineStr">
        <is>
          <t>-</t>
        </is>
      </c>
      <c r="D48" s="18" t="inlineStr">
        <is>
          <t>-</t>
        </is>
      </c>
      <c r="E48" s="18" t="inlineStr">
        <is>
          <t>1 gal (ESTIMATE)</t>
        </is>
      </c>
      <c r="F48" s="19" t="n">
        <v>18</v>
      </c>
      <c r="G48" s="18" t="n">
        <v>128</v>
      </c>
      <c r="H48" s="18" t="inlineStr">
        <is>
          <t>fl oz</t>
        </is>
      </c>
      <c r="I48" s="20">
        <f>IF(AND(ISNUMBER(F48),ISNUMBER(G48),G48&gt;0),F48/G48,"")</f>
        <v/>
      </c>
      <c r="J48" s="18" t="inlineStr">
        <is>
          <t>ESTIMATE</t>
        </is>
      </c>
      <c r="K48" s="21" t="inlineStr">
        <is>
          <t>Replace with real price</t>
        </is>
      </c>
    </row>
    <row r="49">
      <c r="A49" s="18" t="inlineStr">
        <is>
          <t>Carre Savoy (each)</t>
        </is>
      </c>
      <c r="B49" s="18" t="inlineStr">
        <is>
          <t>-</t>
        </is>
      </c>
      <c r="C49" s="18" t="inlineStr">
        <is>
          <t>-</t>
        </is>
      </c>
      <c r="D49" s="18" t="inlineStr">
        <is>
          <t>-</t>
        </is>
      </c>
      <c r="E49" s="18" t="inlineStr">
        <is>
          <t>each (ESTIMATE)</t>
        </is>
      </c>
      <c r="F49" s="19" t="n">
        <v>2.2</v>
      </c>
      <c r="G49" s="18" t="n">
        <v>1</v>
      </c>
      <c r="H49" s="18" t="inlineStr">
        <is>
          <t>each</t>
        </is>
      </c>
      <c r="I49" s="20">
        <f>IF(AND(ISNUMBER(F49),ISNUMBER(G49),G49&gt;0),F49/G49,"")</f>
        <v/>
      </c>
      <c r="J49" s="18" t="inlineStr">
        <is>
          <t>ESTIMATE</t>
        </is>
      </c>
      <c r="K49" s="21" t="inlineStr">
        <is>
          <t>Not on recent Mana invoices</t>
        </is>
      </c>
    </row>
    <row r="50">
      <c r="A50" s="18" t="inlineStr">
        <is>
          <t>Ham</t>
        </is>
      </c>
      <c r="B50" s="18" t="inlineStr">
        <is>
          <t>-</t>
        </is>
      </c>
      <c r="C50" s="18" t="inlineStr">
        <is>
          <t>-</t>
        </is>
      </c>
      <c r="D50" s="18" t="inlineStr">
        <is>
          <t>-</t>
        </is>
      </c>
      <c r="E50" s="18" t="inlineStr">
        <is>
          <t>per lb (ESTIMATE)</t>
        </is>
      </c>
      <c r="F50" s="19" t="n">
        <v>3</v>
      </c>
      <c r="G50" s="18" t="n">
        <v>16</v>
      </c>
      <c r="H50" s="18" t="inlineStr">
        <is>
          <t>oz</t>
        </is>
      </c>
      <c r="I50" s="20">
        <f>IF(AND(ISNUMBER(F50),ISNUMBER(G50),G50&gt;0),F50/G50,"")</f>
        <v/>
      </c>
      <c r="J50" s="18" t="inlineStr">
        <is>
          <t>ESTIMATE</t>
        </is>
      </c>
      <c r="K50" s="21" t="inlineStr">
        <is>
          <t>Replace with real price</t>
        </is>
      </c>
    </row>
    <row r="51">
      <c r="A51" s="18" t="inlineStr">
        <is>
          <t>Potato</t>
        </is>
      </c>
      <c r="B51" s="18" t="inlineStr">
        <is>
          <t>-</t>
        </is>
      </c>
      <c r="C51" s="18" t="inlineStr">
        <is>
          <t>-</t>
        </is>
      </c>
      <c r="D51" s="18" t="inlineStr">
        <is>
          <t>-</t>
        </is>
      </c>
      <c r="E51" s="18" t="inlineStr">
        <is>
          <t>per lb (ESTIMATE)</t>
        </is>
      </c>
      <c r="F51" s="19" t="n">
        <v>0.7</v>
      </c>
      <c r="G51" s="18" t="n">
        <v>16</v>
      </c>
      <c r="H51" s="18" t="inlineStr">
        <is>
          <t>oz</t>
        </is>
      </c>
      <c r="I51" s="20">
        <f>IF(AND(ISNUMBER(F51),ISNUMBER(G51),G51&gt;0),F51/G51,"")</f>
        <v/>
      </c>
      <c r="J51" s="18" t="inlineStr">
        <is>
          <t>ESTIMATE</t>
        </is>
      </c>
      <c r="K51" s="21" t="inlineStr">
        <is>
          <t>Replace with real price</t>
        </is>
      </c>
    </row>
    <row r="52">
      <c r="A52" s="18" t="inlineStr">
        <is>
          <t>Guasacaca sauce (house-made)</t>
        </is>
      </c>
      <c r="B52" s="18" t="inlineStr">
        <is>
          <t>-</t>
        </is>
      </c>
      <c r="C52" s="18" t="inlineStr">
        <is>
          <t>-</t>
        </is>
      </c>
      <c r="D52" s="18" t="inlineStr">
        <is>
          <t>-</t>
        </is>
      </c>
      <c r="E52" s="18" t="inlineStr">
        <is>
          <t>per fl oz (ESTIMATE)</t>
        </is>
      </c>
      <c r="F52" s="19" t="n">
        <v>0.2</v>
      </c>
      <c r="G52" s="18" t="n">
        <v>1</v>
      </c>
      <c r="H52" s="18" t="inlineStr">
        <is>
          <t>fl oz</t>
        </is>
      </c>
      <c r="I52" s="20">
        <f>IF(AND(ISNUMBER(F52),ISNUMBER(G52),G52&gt;0),F52/G52,"")</f>
        <v/>
      </c>
      <c r="J52" s="18" t="inlineStr">
        <is>
          <t>ESTIMATE</t>
        </is>
      </c>
      <c r="K52" s="21" t="inlineStr">
        <is>
          <t>Rough cost/fl oz - can build as sub-recipe later</t>
        </is>
      </c>
    </row>
    <row r="53">
      <c r="A53" s="18" t="inlineStr">
        <is>
          <t>To-go container/wrap</t>
        </is>
      </c>
      <c r="B53" s="18" t="inlineStr">
        <is>
          <t>-</t>
        </is>
      </c>
      <c r="C53" s="18" t="inlineStr">
        <is>
          <t>-</t>
        </is>
      </c>
      <c r="D53" s="18" t="inlineStr">
        <is>
          <t>-</t>
        </is>
      </c>
      <c r="E53" s="18" t="inlineStr">
        <is>
          <t>per order (ESTIMATE)</t>
        </is>
      </c>
      <c r="F53" s="19" t="n">
        <v>0.45</v>
      </c>
      <c r="G53" s="18" t="n">
        <v>1</v>
      </c>
      <c r="H53" s="18" t="inlineStr">
        <is>
          <t>each</t>
        </is>
      </c>
      <c r="I53" s="20">
        <f>IF(AND(ISNUMBER(F53),ISNUMBER(G53),G53&gt;0),F53/G53,"")</f>
        <v/>
      </c>
      <c r="J53" s="18" t="inlineStr">
        <is>
          <t>ESTIMATE</t>
        </is>
      </c>
      <c r="K53" s="21" t="inlineStr">
        <is>
          <t>Replace with real price</t>
        </is>
      </c>
    </row>
    <row r="54">
      <c r="A54" s="18" t="inlineStr">
        <is>
          <t>Drink cup + lid + straw (20 oz)</t>
        </is>
      </c>
      <c r="B54" s="18" t="inlineStr">
        <is>
          <t>-</t>
        </is>
      </c>
      <c r="C54" s="18" t="inlineStr">
        <is>
          <t>-</t>
        </is>
      </c>
      <c r="D54" s="18" t="inlineStr">
        <is>
          <t>-</t>
        </is>
      </c>
      <c r="E54" s="18" t="inlineStr">
        <is>
          <t>each (ESTIMATE)</t>
        </is>
      </c>
      <c r="F54" s="19" t="n">
        <v>0.28</v>
      </c>
      <c r="G54" s="18" t="n">
        <v>1</v>
      </c>
      <c r="H54" s="18" t="inlineStr">
        <is>
          <t>each</t>
        </is>
      </c>
      <c r="I54" s="20">
        <f>IF(AND(ISNUMBER(F54),ISNUMBER(G54),G54&gt;0),F54/G54,"")</f>
        <v/>
      </c>
      <c r="J54" s="18" t="inlineStr">
        <is>
          <t>ESTIMATE</t>
        </is>
      </c>
      <c r="K54" s="21" t="inlineStr">
        <is>
          <t>Replace with real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2" customWidth="1" min="3" max="3"/>
    <col width="52" customWidth="1" min="4" max="4"/>
    <col width="8" customWidth="1" min="5" max="5"/>
    <col width="20" customWidth="1" min="6" max="6"/>
    <col width="11" customWidth="1" min="7" max="7"/>
    <col width="11" customWidth="1" min="8" max="8"/>
  </cols>
  <sheetData>
    <row r="1">
      <c r="A1" s="1" t="inlineStr">
        <is>
          <t>Raw invoice line items (reference)</t>
        </is>
      </c>
    </row>
    <row r="3">
      <c r="A3" s="3" t="inlineStr">
        <is>
          <t>Vendor</t>
        </is>
      </c>
      <c r="B3" s="3" t="inlineStr">
        <is>
          <t>Invoice Date</t>
        </is>
      </c>
      <c r="C3" s="3" t="inlineStr">
        <is>
          <t>Invoice #</t>
        </is>
      </c>
      <c r="D3" s="3" t="inlineStr">
        <is>
          <t>Description</t>
        </is>
      </c>
      <c r="E3" s="3" t="inlineStr">
        <is>
          <t>Qty</t>
        </is>
      </c>
      <c r="F3" s="3" t="inlineStr">
        <is>
          <t>Pack/Size</t>
        </is>
      </c>
      <c r="G3" s="3" t="inlineStr">
        <is>
          <t>Unit Price</t>
        </is>
      </c>
      <c r="H3" s="3" t="inlineStr">
        <is>
          <t>Line Total</t>
        </is>
      </c>
    </row>
    <row r="4">
      <c r="A4" s="8" t="inlineStr">
        <is>
          <t>US Foods, Inc.</t>
        </is>
      </c>
      <c r="B4" s="8" t="inlineStr">
        <is>
          <t>2026-07-09</t>
        </is>
      </c>
      <c r="C4" s="8" t="inlineStr">
        <is>
          <t>3190 0146?</t>
        </is>
      </c>
      <c r="D4" s="8" t="inlineStr">
        <is>
          <t>SHORTENING, FRYG CNOLA LIQ CLR (HARVEST VAL)</t>
        </is>
      </c>
      <c r="E4" s="8" t="n">
        <v>2</v>
      </c>
      <c r="F4" s="8" t="inlineStr">
        <is>
          <t>35 LB CS</t>
        </is>
      </c>
      <c r="G4" s="9" t="n">
        <v>42.04</v>
      </c>
      <c r="H4" s="9" t="n">
        <v>84.08</v>
      </c>
    </row>
    <row r="5">
      <c r="A5" s="8" t="inlineStr">
        <is>
          <t>US Foods, Inc.</t>
        </is>
      </c>
      <c r="B5" s="8" t="inlineStr">
        <is>
          <t>2026-07-09</t>
        </is>
      </c>
      <c r="C5" s="8" t="inlineStr">
        <is>
          <t>3190 0146?</t>
        </is>
      </c>
      <c r="D5" s="8" t="inlineStr">
        <is>
          <t>PEPPER, BELL RED #2 GRD 22-28 (PACKER)</t>
        </is>
      </c>
      <c r="E5" s="8" t="inlineStr">
        <is>
          <t>1?</t>
        </is>
      </c>
      <c r="F5" s="8" t="inlineStr">
        <is>
          <t>1.1 BU CS</t>
        </is>
      </c>
      <c r="G5" s="8" t="n"/>
      <c r="H5" s="8" t="inlineStr">
        <is>
          <t>85.07? (or 84.07)</t>
        </is>
      </c>
    </row>
    <row r="6">
      <c r="A6" s="8" t="inlineStr">
        <is>
          <t>US Foods, Inc.</t>
        </is>
      </c>
      <c r="B6" s="8" t="inlineStr">
        <is>
          <t>2026-07-09</t>
        </is>
      </c>
      <c r="C6" s="8" t="inlineStr">
        <is>
          <t>3190 0146?</t>
        </is>
      </c>
      <c r="D6" s="8" t="inlineStr">
        <is>
          <t>CHICKEN, BRST DBL RND JMB (PATUXENT)</t>
        </is>
      </c>
      <c r="E6" s="8" t="n"/>
      <c r="F6" s="8" t="inlineStr">
        <is>
          <t>4/10 LB CS</t>
        </is>
      </c>
      <c r="G6" s="8" t="n"/>
      <c r="H6" s="8" t="inlineStr">
        <is>
          <t>107.34? (or 187.34)</t>
        </is>
      </c>
    </row>
    <row r="7">
      <c r="A7" s="8" t="inlineStr">
        <is>
          <t>US Foods, Inc.</t>
        </is>
      </c>
      <c r="B7" s="8" t="inlineStr">
        <is>
          <t>2026-07-09</t>
        </is>
      </c>
      <c r="C7" s="8" t="inlineStr">
        <is>
          <t>3190 0146?</t>
        </is>
      </c>
      <c r="D7" s="8" t="inlineStr">
        <is>
          <t>CHEESE, CHEDR MILD SHRD FTHR (GLNVW FRMS)</t>
        </is>
      </c>
      <c r="E7" s="8" t="n"/>
      <c r="F7" s="8" t="inlineStr">
        <is>
          <t>4/5 LB CS</t>
        </is>
      </c>
      <c r="G7" s="8" t="n"/>
      <c r="H7" s="8" t="inlineStr">
        <is>
          <t>139.18?</t>
        </is>
      </c>
    </row>
    <row r="8">
      <c r="A8" s="8" t="inlineStr">
        <is>
          <t>US Foods, Inc.</t>
        </is>
      </c>
      <c r="B8" s="8" t="inlineStr">
        <is>
          <t>2026-07-09</t>
        </is>
      </c>
      <c r="C8" s="8" t="inlineStr">
        <is>
          <t>3190 0146?</t>
        </is>
      </c>
      <c r="D8" s="8" t="inlineStr">
        <is>
          <t>BEEF, RIB LIFTER MEAT CAB RAW (PACKER) - catch weight 162.20 LBS</t>
        </is>
      </c>
      <c r="E8" s="8" t="n">
        <v>2</v>
      </c>
      <c r="F8" s="8" t="inlineStr">
        <is>
          <t>75 LBA CS (CS1: 82.00 LBS, CS2: 80.20 LBS)</t>
        </is>
      </c>
      <c r="G8" s="9" t="n">
        <v>6.23</v>
      </c>
      <c r="H8" s="9" t="n">
        <v>1010.51</v>
      </c>
    </row>
    <row r="9">
      <c r="A9" s="8" t="inlineStr">
        <is>
          <t>US Foods, Inc.</t>
        </is>
      </c>
      <c r="B9" s="8" t="inlineStr">
        <is>
          <t>2026-07-09</t>
        </is>
      </c>
      <c r="C9" s="8" t="inlineStr">
        <is>
          <t>3190 0146?</t>
        </is>
      </c>
      <c r="D9" s="8" t="inlineStr">
        <is>
          <t>Fuel Surcharge</t>
        </is>
      </c>
      <c r="E9" s="8" t="n">
        <v>1</v>
      </c>
      <c r="F9" s="8" t="inlineStr"/>
      <c r="G9" s="9" t="n">
        <v>9</v>
      </c>
      <c r="H9" s="9" t="n">
        <v>9</v>
      </c>
    </row>
    <row r="10">
      <c r="A10" s="8" t="inlineStr">
        <is>
          <t>US Foods, Inc.</t>
        </is>
      </c>
      <c r="B10" s="8" t="inlineStr">
        <is>
          <t>2026-07-09</t>
        </is>
      </c>
      <c r="C10" s="8" t="inlineStr">
        <is>
          <t>3190 0146?</t>
        </is>
      </c>
      <c r="D10" s="8" t="inlineStr">
        <is>
          <t>CO RETAIL DEL FEE</t>
        </is>
      </c>
      <c r="E10" s="8" t="n">
        <v>1</v>
      </c>
      <c r="F10" s="8" t="inlineStr"/>
      <c r="G10" s="9" t="n">
        <v>0.31</v>
      </c>
      <c r="H10" s="9" t="n">
        <v>0.31</v>
      </c>
    </row>
    <row r="11">
      <c r="A11" s="8" t="inlineStr">
        <is>
          <t>Mission &amp; Vegetable LLC</t>
        </is>
      </c>
      <c r="B11" s="8" t="inlineStr">
        <is>
          <t>2026-07-09</t>
        </is>
      </c>
      <c r="C11" s="8" t="inlineStr">
        <is>
          <t>41123</t>
        </is>
      </c>
      <c r="D11" s="8" t="inlineStr">
        <is>
          <t>morron rojo</t>
        </is>
      </c>
      <c r="E11" s="8" t="n">
        <v>1</v>
      </c>
      <c r="F11" s="8" t="inlineStr"/>
      <c r="G11" s="9" t="n">
        <v>38.75</v>
      </c>
      <c r="H11" s="9" t="n">
        <v>38.75</v>
      </c>
    </row>
    <row r="12">
      <c r="A12" s="8" t="inlineStr">
        <is>
          <t>Mission &amp; Vegetable LLC</t>
        </is>
      </c>
      <c r="B12" s="8" t="inlineStr">
        <is>
          <t>2026-07-09</t>
        </is>
      </c>
      <c r="C12" s="8" t="inlineStr">
        <is>
          <t>41123</t>
        </is>
      </c>
      <c r="D12" s="8" t="inlineStr">
        <is>
          <t>Cebolla amarilla COLOSO</t>
        </is>
      </c>
      <c r="E12" s="8" t="n">
        <v>1</v>
      </c>
      <c r="F12" s="8" t="inlineStr"/>
      <c r="G12" s="9" t="n">
        <v>25.75</v>
      </c>
      <c r="H12" s="9" t="n">
        <v>25.75</v>
      </c>
    </row>
    <row r="13">
      <c r="A13" s="8" t="inlineStr">
        <is>
          <t>Mission &amp; Vegetable LLC</t>
        </is>
      </c>
      <c r="B13" s="8" t="inlineStr">
        <is>
          <t>2026-07-09</t>
        </is>
      </c>
      <c r="C13" s="8" t="inlineStr">
        <is>
          <t>41123</t>
        </is>
      </c>
      <c r="D13" s="8" t="inlineStr">
        <is>
          <t>Apio</t>
        </is>
      </c>
      <c r="E13" s="8" t="n">
        <v>1</v>
      </c>
      <c r="F13" s="8" t="inlineStr"/>
      <c r="G13" s="9" t="n">
        <v>27.75</v>
      </c>
      <c r="H13" s="9" t="n">
        <v>27.75</v>
      </c>
    </row>
    <row r="14">
      <c r="A14" s="8" t="inlineStr">
        <is>
          <t>Mission &amp; Vegetable LLC</t>
        </is>
      </c>
      <c r="B14" s="8" t="inlineStr">
        <is>
          <t>2026-07-09</t>
        </is>
      </c>
      <c r="C14" s="8" t="inlineStr">
        <is>
          <t>41123</t>
        </is>
      </c>
      <c r="D14" s="8" t="inlineStr">
        <is>
          <t>aguacte 48 verde #1 (SOLO #48 y VERDE VERDE OJOOOO)</t>
        </is>
      </c>
      <c r="E14" s="8" t="n">
        <v>3</v>
      </c>
      <c r="F14" s="8" t="inlineStr">
        <is>
          <t>#48 count case</t>
        </is>
      </c>
      <c r="G14" s="9" t="n">
        <v>46.75</v>
      </c>
      <c r="H14" s="9" t="n">
        <v>140.25</v>
      </c>
    </row>
    <row r="15">
      <c r="A15" s="8" t="inlineStr">
        <is>
          <t>Latin Market Mana (MANA Mayorista)</t>
        </is>
      </c>
      <c r="B15" s="8" t="inlineStr">
        <is>
          <t>2026-07-07</t>
        </is>
      </c>
      <c r="C15" s="8" t="inlineStr">
        <is>
          <t>SVFPDYSHPK2NC?</t>
        </is>
      </c>
      <c r="D15" s="8" t="inlineStr">
        <is>
          <t>Cachapas Queso Palmita</t>
        </is>
      </c>
      <c r="E15" s="8" t="n">
        <v>10</v>
      </c>
      <c r="F15" s="8" t="inlineStr">
        <is>
          <t>Unit</t>
        </is>
      </c>
      <c r="G15" s="9" t="n">
        <v>13.99</v>
      </c>
      <c r="H15" s="9" t="n">
        <v>139.9</v>
      </c>
    </row>
    <row r="16">
      <c r="A16" s="8" t="inlineStr">
        <is>
          <t>Latin Market Mana (MANA Mayorista)</t>
        </is>
      </c>
      <c r="B16" s="8" t="inlineStr">
        <is>
          <t>2026-07-07</t>
        </is>
      </c>
      <c r="C16" s="8" t="inlineStr">
        <is>
          <t>SVFPDYSHPK2NC?</t>
        </is>
      </c>
      <c r="D16" s="8" t="inlineStr">
        <is>
          <t>Queso de Mano 26 Oz</t>
        </is>
      </c>
      <c r="E16" s="8" t="n">
        <v>15</v>
      </c>
      <c r="F16" s="8" t="inlineStr">
        <is>
          <t>Unit (26 OZ)</t>
        </is>
      </c>
      <c r="G16" s="9" t="n">
        <v>11</v>
      </c>
      <c r="H16" s="9" t="n">
        <v>165</v>
      </c>
    </row>
    <row r="17">
      <c r="A17" s="8" t="inlineStr">
        <is>
          <t>Latin Market Mana (MANA Mayorista)</t>
        </is>
      </c>
      <c r="B17" s="8" t="inlineStr">
        <is>
          <t>2026-07-07</t>
        </is>
      </c>
      <c r="C17" s="8" t="inlineStr">
        <is>
          <t>SVFPDYSHPK2NC?</t>
        </is>
      </c>
      <c r="D17" s="8" t="inlineStr">
        <is>
          <t>Nata Mana 32 Libras</t>
        </is>
      </c>
      <c r="E17" s="8" t="n">
        <v>1</v>
      </c>
      <c r="F17" s="8" t="inlineStr">
        <is>
          <t>32 LB</t>
        </is>
      </c>
      <c r="G17" s="9" t="n">
        <v>116</v>
      </c>
      <c r="H17" s="9" t="n">
        <v>116</v>
      </c>
    </row>
    <row r="18">
      <c r="A18" s="8" t="inlineStr">
        <is>
          <t>Latin Market Mana (MANA Mayorista)</t>
        </is>
      </c>
      <c r="B18" s="8" t="inlineStr">
        <is>
          <t>2026-07-07</t>
        </is>
      </c>
      <c r="C18" s="8" t="inlineStr">
        <is>
          <t>SVFPDYSHPK2NC?</t>
        </is>
      </c>
      <c r="D18" s="8" t="inlineStr">
        <is>
          <t>Concentrado pina</t>
        </is>
      </c>
      <c r="E18" s="8" t="n">
        <v>6</v>
      </c>
      <c r="F18" s="8" t="inlineStr">
        <is>
          <t>Unit</t>
        </is>
      </c>
      <c r="G18" s="9" t="n">
        <v>15.39</v>
      </c>
      <c r="H18" s="9" t="n">
        <v>92.34</v>
      </c>
    </row>
    <row r="19">
      <c r="A19" s="8" t="inlineStr">
        <is>
          <t>Latin Market Mana (MANA Mayorista)</t>
        </is>
      </c>
      <c r="B19" s="8" t="inlineStr">
        <is>
          <t>2026-07-07</t>
        </is>
      </c>
      <c r="C19" s="8" t="inlineStr">
        <is>
          <t>SVFPDYSHPK2NC?</t>
        </is>
      </c>
      <c r="D19" s="8" t="inlineStr">
        <is>
          <t>Tequenos Mana 160 Unidades</t>
        </is>
      </c>
      <c r="E19" s="8" t="n">
        <v>2</v>
      </c>
      <c r="F19" s="8" t="inlineStr">
        <is>
          <t>160 unidades</t>
        </is>
      </c>
      <c r="G19" s="9" t="n">
        <v>87.75</v>
      </c>
      <c r="H19" s="9" t="n">
        <v>175.5</v>
      </c>
    </row>
    <row r="20">
      <c r="A20" s="8" t="inlineStr">
        <is>
          <t>Clean Green</t>
        </is>
      </c>
      <c r="B20" s="8" t="inlineStr">
        <is>
          <t>2026-07-07</t>
        </is>
      </c>
      <c r="C20" s="8" t="inlineStr">
        <is>
          <t>300236676</t>
        </is>
      </c>
      <c r="D20" s="8" t="inlineStr">
        <is>
          <t>BAR TOWEL (9930) - Rent</t>
        </is>
      </c>
      <c r="E20" s="8" t="n">
        <v>150</v>
      </c>
      <c r="F20" s="8" t="inlineStr"/>
      <c r="G20" s="9" t="n">
        <v>0.17</v>
      </c>
      <c r="H20" s="9" t="n">
        <v>25.5</v>
      </c>
    </row>
    <row r="21">
      <c r="A21" s="8" t="inlineStr">
        <is>
          <t>Clean Green</t>
        </is>
      </c>
      <c r="B21" s="8" t="inlineStr">
        <is>
          <t>2026-07-07</t>
        </is>
      </c>
      <c r="C21" s="8" t="inlineStr">
        <is>
          <t>300236676</t>
        </is>
      </c>
      <c r="D21" s="8" t="inlineStr">
        <is>
          <t>BAR TOWEL (9930) - MMP</t>
        </is>
      </c>
      <c r="E21" s="8" t="n">
        <v>6</v>
      </c>
      <c r="F21" s="8" t="inlineStr"/>
      <c r="G21" s="9" t="n">
        <v>1.11</v>
      </c>
      <c r="H21" s="9" t="n">
        <v>6.66</v>
      </c>
    </row>
    <row r="22">
      <c r="A22" s="8" t="inlineStr">
        <is>
          <t>Clean Green</t>
        </is>
      </c>
      <c r="B22" s="8" t="inlineStr">
        <is>
          <t>2026-07-07</t>
        </is>
      </c>
      <c r="C22" s="8" t="inlineStr">
        <is>
          <t>300236676</t>
        </is>
      </c>
      <c r="D22" s="8" t="inlineStr">
        <is>
          <t>Delivery Charge</t>
        </is>
      </c>
      <c r="E22" s="8" t="n">
        <v>1</v>
      </c>
      <c r="F22" s="8" t="inlineStr"/>
      <c r="G22" s="9" t="n">
        <v>0.31</v>
      </c>
      <c r="H22" s="9" t="n">
        <v>0.31</v>
      </c>
    </row>
    <row r="23">
      <c r="A23" s="8" t="inlineStr">
        <is>
          <t>Clean Green</t>
        </is>
      </c>
      <c r="B23" s="8" t="inlineStr">
        <is>
          <t>2026-07-07</t>
        </is>
      </c>
      <c r="C23" s="8" t="inlineStr">
        <is>
          <t>300236676</t>
        </is>
      </c>
      <c r="D23" s="8" t="inlineStr">
        <is>
          <t>Delivery Charge</t>
        </is>
      </c>
      <c r="E23" s="8" t="n">
        <v>1</v>
      </c>
      <c r="F23" s="8" t="inlineStr"/>
      <c r="G23" s="9" t="n">
        <v>6.53</v>
      </c>
      <c r="H23" s="9" t="n">
        <v>6.53</v>
      </c>
    </row>
    <row r="24">
      <c r="A24" s="8" t="inlineStr">
        <is>
          <t>Clean Green</t>
        </is>
      </c>
      <c r="B24" s="8" t="inlineStr">
        <is>
          <t>2026-07-07</t>
        </is>
      </c>
      <c r="C24" s="8" t="inlineStr">
        <is>
          <t>300236676</t>
        </is>
      </c>
      <c r="D24" s="8" t="inlineStr">
        <is>
          <t>CO Tax (CO's)</t>
        </is>
      </c>
      <c r="E24" s="8" t="n">
        <v>3</v>
      </c>
      <c r="F24" s="8" t="inlineStr"/>
      <c r="G24" s="8" t="n"/>
      <c r="H24" s="9" t="n">
        <v>1.12</v>
      </c>
    </row>
    <row r="25">
      <c r="A25" s="8" t="inlineStr">
        <is>
          <t>Clean Green</t>
        </is>
      </c>
      <c r="B25" s="8" t="inlineStr">
        <is>
          <t>2026-07-07</t>
        </is>
      </c>
      <c r="C25" s="8" t="inlineStr">
        <is>
          <t>300236676</t>
        </is>
      </c>
      <c r="D25" s="8" t="inlineStr">
        <is>
          <t>EDGEWATER Tax (CO32)</t>
        </is>
      </c>
      <c r="E25" s="8" t="n">
        <v>3</v>
      </c>
      <c r="F25" s="8" t="inlineStr"/>
      <c r="G25" s="8" t="n"/>
      <c r="H25" s="9" t="n">
        <v>1.78</v>
      </c>
    </row>
    <row r="26">
      <c r="A26" s="8" t="inlineStr">
        <is>
          <t>Clean Green</t>
        </is>
      </c>
      <c r="B26" s="8" t="inlineStr">
        <is>
          <t>2026-07-07</t>
        </is>
      </c>
      <c r="C26" s="8" t="inlineStr">
        <is>
          <t>300236676</t>
        </is>
      </c>
      <c r="D26" s="8" t="inlineStr">
        <is>
          <t>JEFFERSON COUNTY Tax (COC2)</t>
        </is>
      </c>
      <c r="E26" s="8" t="n">
        <v>3</v>
      </c>
      <c r="F26" s="8" t="inlineStr"/>
      <c r="G26" s="8" t="n"/>
      <c r="H26" s="9" t="n">
        <v>0.19</v>
      </c>
    </row>
    <row r="27">
      <c r="A27" s="8" t="inlineStr">
        <is>
          <t>Restaurant Depot (Denver, 1740 W 13th Ave)</t>
        </is>
      </c>
      <c r="B27" s="8" t="inlineStr">
        <is>
          <t>2026-07-06</t>
        </is>
      </c>
      <c r="C27" s="8" t="inlineStr">
        <is>
          <t>20544606249422176</t>
        </is>
      </c>
      <c r="D27" s="8" t="inlineStr">
        <is>
          <t>Chef's Quality - Mayonnaise - 4 gallons</t>
        </is>
      </c>
      <c r="E27" s="8" t="n">
        <v>3</v>
      </c>
      <c r="F27" s="8" t="inlineStr">
        <is>
          <t>4 GAL</t>
        </is>
      </c>
      <c r="G27" s="9" t="n">
        <v>44.55</v>
      </c>
      <c r="H27" s="9" t="n">
        <v>133.65</v>
      </c>
    </row>
    <row r="28">
      <c r="A28" s="8" t="inlineStr">
        <is>
          <t>Restaurant Depot (Denver, 1740 W 13th Ave)</t>
        </is>
      </c>
      <c r="B28" s="8" t="inlineStr">
        <is>
          <t>2026-07-06</t>
        </is>
      </c>
      <c r="C28" s="8" t="inlineStr">
        <is>
          <t>20544606249422176</t>
        </is>
      </c>
      <c r="D28" s="8" t="inlineStr">
        <is>
          <t>Chef's Quality - Black Beans - 25 lbs</t>
        </is>
      </c>
      <c r="E28" s="8" t="n">
        <v>2</v>
      </c>
      <c r="F28" s="8" t="inlineStr">
        <is>
          <t>25 LB</t>
        </is>
      </c>
      <c r="G28" s="9" t="n">
        <v>13.33</v>
      </c>
      <c r="H28" s="9" t="n">
        <v>26.66</v>
      </c>
    </row>
    <row r="29">
      <c r="A29" s="8" t="inlineStr">
        <is>
          <t>Restaurant Depot (Denver, 1740 W 13th Ave)</t>
        </is>
      </c>
      <c r="B29" s="8" t="inlineStr">
        <is>
          <t>2026-07-06</t>
        </is>
      </c>
      <c r="C29" s="8" t="inlineStr">
        <is>
          <t>20544606249422176</t>
        </is>
      </c>
      <c r="D29" s="8" t="inlineStr">
        <is>
          <t>Chef's Quality - Seasoning Salt - 20 lbs (substituted: Seasoning Salt 10 lb Jar)</t>
        </is>
      </c>
      <c r="E29" s="8" t="n">
        <v>1</v>
      </c>
      <c r="F29" s="8" t="inlineStr">
        <is>
          <t>20 LB</t>
        </is>
      </c>
      <c r="G29" s="9" t="n">
        <v>67.44</v>
      </c>
      <c r="H29" s="9" t="n">
        <v>67.44</v>
      </c>
    </row>
    <row r="30">
      <c r="A30" s="8" t="inlineStr">
        <is>
          <t>Restaurant Depot (Denver, 1740 W 13th Ave)</t>
        </is>
      </c>
      <c r="B30" s="8" t="inlineStr">
        <is>
          <t>2026-07-06</t>
        </is>
      </c>
      <c r="C30" s="8" t="inlineStr">
        <is>
          <t>20544606249422176</t>
        </is>
      </c>
      <c r="D30" s="8" t="inlineStr">
        <is>
          <t>Chef's Quality - Canola Frying Oil for Heavy Duty Frying - 35 lbs (substituted: 100% Canola Salad Oil 35 lbs)</t>
        </is>
      </c>
      <c r="E30" s="8" t="n">
        <v>2</v>
      </c>
      <c r="F30" s="8" t="inlineStr">
        <is>
          <t>35 LB</t>
        </is>
      </c>
      <c r="G30" s="9" t="n">
        <v>41.82</v>
      </c>
      <c r="H30" s="9" t="n">
        <v>83.64</v>
      </c>
    </row>
    <row r="31">
      <c r="A31" s="8" t="inlineStr">
        <is>
          <t>Restaurant Depot (Denver, 1740 W 13th Ave)</t>
        </is>
      </c>
      <c r="B31" s="8" t="inlineStr">
        <is>
          <t>2026-07-06</t>
        </is>
      </c>
      <c r="C31" s="8" t="inlineStr">
        <is>
          <t>20544606249422176</t>
        </is>
      </c>
      <c r="D31" s="8" t="inlineStr">
        <is>
          <t>Peeled Garlic</t>
        </is>
      </c>
      <c r="E31" s="8" t="n">
        <v>1</v>
      </c>
      <c r="F31" s="8" t="inlineStr">
        <is>
          <t>Unit</t>
        </is>
      </c>
      <c r="G31" s="9" t="n">
        <v>15.95</v>
      </c>
      <c r="H31" s="9" t="n">
        <v>15.95</v>
      </c>
    </row>
    <row r="32">
      <c r="A32" s="8" t="inlineStr">
        <is>
          <t>Unknown (broadline frozen-foods distributor)?</t>
        </is>
      </c>
      <c r="B32" s="8" t="inlineStr">
        <is>
          <t>06/29/26?</t>
        </is>
      </c>
      <c r="C32" s="8" t="inlineStr">
        <is>
          <t>?</t>
        </is>
      </c>
      <c r="D32" s="8" t="inlineStr">
        <is>
          <t>YUCA, FF CKD BAG FZN (verbatim OCR: 'YWCA, FF CKD BAG FZN 20/1 1_B')</t>
        </is>
      </c>
      <c r="E32" s="8" t="inlineStr">
        <is>
          <t>?</t>
        </is>
      </c>
      <c r="F32" s="8" t="inlineStr">
        <is>
          <t>20/1 LB</t>
        </is>
      </c>
      <c r="G32" s="8" t="inlineStr">
        <is>
          <t>?</t>
        </is>
      </c>
      <c r="H32" s="8" t="inlineStr">
        <is>
          <t>?</t>
        </is>
      </c>
    </row>
    <row r="33">
      <c r="A33" s="8" t="inlineStr">
        <is>
          <t>Unknown (broadline frozen-foods distributor)?</t>
        </is>
      </c>
      <c r="B33" s="8" t="inlineStr">
        <is>
          <t>06/29/26?</t>
        </is>
      </c>
      <c r="C33" s="8" t="inlineStr">
        <is>
          <t>?</t>
        </is>
      </c>
      <c r="D33" s="8" t="inlineStr">
        <is>
          <t>PLANTAIN, S? ... IQF (verbatim OCR: '"ANTAXN, Si." "T N" "!] IQF4/d LB') — likely PLANTAIN, SWEET IQF 4/6 LB?</t>
        </is>
      </c>
      <c r="E33" s="8" t="inlineStr">
        <is>
          <t>?</t>
        </is>
      </c>
      <c r="F33" s="8" t="inlineStr">
        <is>
          <t>4/6 LB?</t>
        </is>
      </c>
      <c r="G33" s="8" t="inlineStr">
        <is>
          <t>?</t>
        </is>
      </c>
      <c r="H33" s="8" t="inlineStr">
        <is>
          <t>?</t>
        </is>
      </c>
    </row>
    <row r="34">
      <c r="A34" s="8" t="inlineStr">
        <is>
          <t>Prudential Overall Supply (CLEANGREEN)</t>
        </is>
      </c>
      <c r="B34" s="8" t="inlineStr">
        <is>
          <t>06/30/2026</t>
        </is>
      </c>
      <c r="C34" s="8" t="inlineStr">
        <is>
          <t>300236226</t>
        </is>
      </c>
      <c r="D34" s="8" t="inlineStr">
        <is>
          <t>9930 BAR TOWEL Rent</t>
        </is>
      </c>
      <c r="E34" s="8" t="inlineStr">
        <is>
          <t>150?</t>
        </is>
      </c>
      <c r="F34" s="8" t="inlineStr">
        <is>
          <t>each (rental)</t>
        </is>
      </c>
      <c r="G34" s="9" t="n">
        <v>0.171</v>
      </c>
      <c r="H34" s="9" t="n">
        <v>25.5</v>
      </c>
    </row>
    <row r="35">
      <c r="A35" s="8" t="inlineStr">
        <is>
          <t>Prudential Overall Supply (CLEANGREEN)</t>
        </is>
      </c>
      <c r="B35" s="8" t="inlineStr">
        <is>
          <t>06/30/2026</t>
        </is>
      </c>
      <c r="C35" s="8" t="inlineStr">
        <is>
          <t>300236226</t>
        </is>
      </c>
      <c r="D35" s="8" t="inlineStr">
        <is>
          <t>9930 BAR TOWEL MMP</t>
        </is>
      </c>
      <c r="E35" s="8" t="n">
        <v>6</v>
      </c>
      <c r="F35" s="8" t="inlineStr">
        <is>
          <t>each</t>
        </is>
      </c>
      <c r="G35" s="9" t="n">
        <v>1.11</v>
      </c>
      <c r="H35" s="9" t="n">
        <v>6.66</v>
      </c>
    </row>
    <row r="36">
      <c r="A36" s="8" t="inlineStr">
        <is>
          <t>Prudential Overall Supply (CLEANGREEN)</t>
        </is>
      </c>
      <c r="B36" s="8" t="inlineStr">
        <is>
          <t>06/30/2026</t>
        </is>
      </c>
      <c r="C36" s="8" t="inlineStr">
        <is>
          <t>300236226</t>
        </is>
      </c>
      <c r="D36" s="8" t="inlineStr">
        <is>
          <t>Delivery Charge</t>
        </is>
      </c>
      <c r="E36" s="8" t="n">
        <v>1</v>
      </c>
      <c r="F36" s="8" t="inlineStr"/>
      <c r="G36" s="9" t="n">
        <v>0.28</v>
      </c>
      <c r="H36" s="9" t="n">
        <v>0.28</v>
      </c>
    </row>
    <row r="37">
      <c r="A37" s="8" t="inlineStr">
        <is>
          <t>Prudential Overall Supply (CLEANGREEN)</t>
        </is>
      </c>
      <c r="B37" s="8" t="inlineStr">
        <is>
          <t>06/30/2026</t>
        </is>
      </c>
      <c r="C37" s="8" t="inlineStr">
        <is>
          <t>300236226</t>
        </is>
      </c>
      <c r="D37" s="8" t="inlineStr">
        <is>
          <t>Delivery Charge</t>
        </is>
      </c>
      <c r="E37" s="8" t="n">
        <v>1</v>
      </c>
      <c r="F37" s="8" t="inlineStr"/>
      <c r="G37" s="9" t="n">
        <v>6.53</v>
      </c>
      <c r="H37" s="9" t="n">
        <v>6.53</v>
      </c>
    </row>
    <row r="38">
      <c r="A38" s="8" t="inlineStr">
        <is>
          <t>Latin Market Mana (Mayorista)</t>
        </is>
      </c>
      <c r="B38" s="8" t="inlineStr">
        <is>
          <t>2026-07-01</t>
        </is>
      </c>
      <c r="C38" s="8" t="inlineStr">
        <is>
          <t>GZS4NEZH3S33E</t>
        </is>
      </c>
      <c r="D38" s="8" t="inlineStr">
        <is>
          <t>Concentrado de pina 1 Galon</t>
        </is>
      </c>
      <c r="E38" s="8" t="n">
        <v>6</v>
      </c>
      <c r="F38" s="8" t="inlineStr">
        <is>
          <t>1 Galon (Unit)</t>
        </is>
      </c>
      <c r="G38" s="9" t="n">
        <v>15.39</v>
      </c>
      <c r="H38" s="9" t="n">
        <v>92.34</v>
      </c>
    </row>
    <row r="39">
      <c r="A39" s="8" t="inlineStr">
        <is>
          <t>Latin Market Mana (Mayorista)</t>
        </is>
      </c>
      <c r="B39" s="8" t="inlineStr">
        <is>
          <t>2026-07-01</t>
        </is>
      </c>
      <c r="C39" s="8" t="inlineStr">
        <is>
          <t>GZS4NEZH3S33E</t>
        </is>
      </c>
      <c r="D39" s="8" t="inlineStr">
        <is>
          <t>Cachapas Queso Palmita</t>
        </is>
      </c>
      <c r="E39" s="8" t="n">
        <v>10</v>
      </c>
      <c r="F39" s="8" t="inlineStr">
        <is>
          <t>Unit</t>
        </is>
      </c>
      <c r="G39" s="9" t="n">
        <v>13.99</v>
      </c>
      <c r="H39" s="9" t="n">
        <v>139.9</v>
      </c>
    </row>
    <row r="40">
      <c r="A40" s="8" t="inlineStr">
        <is>
          <t>Latin Market Mana (Mayorista)</t>
        </is>
      </c>
      <c r="B40" s="8" t="inlineStr">
        <is>
          <t>2026-07-01</t>
        </is>
      </c>
      <c r="C40" s="8" t="inlineStr">
        <is>
          <t>GZS4NEZH3S33E</t>
        </is>
      </c>
      <c r="D40" s="8" t="inlineStr">
        <is>
          <t>Tequenos Mana 160 Unidades</t>
        </is>
      </c>
      <c r="E40" s="8" t="n">
        <v>4</v>
      </c>
      <c r="F40" s="8" t="inlineStr">
        <is>
          <t>160 Unidades (Unit)</t>
        </is>
      </c>
      <c r="G40" s="9" t="n">
        <v>87.75</v>
      </c>
      <c r="H40" s="9" t="n">
        <v>351</v>
      </c>
    </row>
    <row r="41">
      <c r="A41" s="8" t="inlineStr">
        <is>
          <t>Latin Market Mana (Mayorista)</t>
        </is>
      </c>
      <c r="B41" s="8" t="inlineStr">
        <is>
          <t>2026-07-04</t>
        </is>
      </c>
      <c r="C41" s="8" t="inlineStr">
        <is>
          <t>0RJ9HAABW6KF8</t>
        </is>
      </c>
      <c r="D41" s="8" t="inlineStr">
        <is>
          <t>Concentrado de Parchita 1 Galon</t>
        </is>
      </c>
      <c r="E41" s="8" t="n">
        <v>20</v>
      </c>
      <c r="F41" s="8" t="inlineStr">
        <is>
          <t>1 Galon (Unit)</t>
        </is>
      </c>
      <c r="G41" s="9" t="n">
        <v>15.39</v>
      </c>
      <c r="H41" s="9" t="n">
        <v>307.8</v>
      </c>
    </row>
    <row r="42">
      <c r="A42" s="8" t="inlineStr">
        <is>
          <t>Mission &amp; Vegetable LLC</t>
        </is>
      </c>
      <c r="B42" s="8" t="inlineStr">
        <is>
          <t>2026-06-25</t>
        </is>
      </c>
      <c r="C42" s="8" t="inlineStr">
        <is>
          <t>40457</t>
        </is>
      </c>
      <c r="D42" s="8" t="inlineStr">
        <is>
          <t>morron rojo</t>
        </is>
      </c>
      <c r="E42" s="8" t="n">
        <v>2</v>
      </c>
      <c r="F42" s="8" t="n"/>
      <c r="G42" s="9" t="n">
        <v>35.75</v>
      </c>
      <c r="H42" s="9" t="n">
        <v>71.5</v>
      </c>
    </row>
    <row r="43">
      <c r="A43" s="8" t="inlineStr">
        <is>
          <t>Mission &amp; Vegetable LLC</t>
        </is>
      </c>
      <c r="B43" s="8" t="inlineStr">
        <is>
          <t>2026-06-25</t>
        </is>
      </c>
      <c r="C43" s="8" t="inlineStr">
        <is>
          <t>40457</t>
        </is>
      </c>
      <c r="D43" s="8" t="inlineStr">
        <is>
          <t>Cebolla amarilla COLOSO</t>
        </is>
      </c>
      <c r="E43" s="8" t="n">
        <v>1</v>
      </c>
      <c r="F43" s="8" t="n"/>
      <c r="G43" s="9" t="n">
        <v>25.75</v>
      </c>
      <c r="H43" s="9" t="n">
        <v>25.75</v>
      </c>
    </row>
    <row r="44">
      <c r="A44" s="8" t="inlineStr">
        <is>
          <t>Mission &amp; Vegetable LLC</t>
        </is>
      </c>
      <c r="B44" s="8" t="inlineStr">
        <is>
          <t>2026-06-25</t>
        </is>
      </c>
      <c r="C44" s="8" t="inlineStr">
        <is>
          <t>40457</t>
        </is>
      </c>
      <c r="D44" s="8" t="inlineStr">
        <is>
          <t>Apio bueno nuevo fresco</t>
        </is>
      </c>
      <c r="E44" s="8" t="n">
        <v>1</v>
      </c>
      <c r="F44" s="8" t="n"/>
      <c r="G44" s="9" t="n">
        <v>27.75</v>
      </c>
      <c r="H44" s="9" t="n">
        <v>27.75</v>
      </c>
    </row>
    <row r="45">
      <c r="A45" s="8" t="inlineStr">
        <is>
          <t>Mission &amp; Vegetable LLC</t>
        </is>
      </c>
      <c r="B45" s="8" t="inlineStr">
        <is>
          <t>2026-06-25</t>
        </is>
      </c>
      <c r="C45" s="8" t="inlineStr">
        <is>
          <t>40457</t>
        </is>
      </c>
      <c r="D45" s="8" t="inlineStr">
        <is>
          <t>habanero</t>
        </is>
      </c>
      <c r="E45" s="8" t="n">
        <v>1</v>
      </c>
      <c r="F45" s="8" t="n"/>
      <c r="G45" s="9" t="n">
        <v>43.75</v>
      </c>
      <c r="H45" s="9" t="n">
        <v>43.75</v>
      </c>
    </row>
    <row r="46">
      <c r="A46" s="8" t="inlineStr">
        <is>
          <t>Latin Market Mana (MAYORISTA)</t>
        </is>
      </c>
      <c r="B46" s="8" t="inlineStr">
        <is>
          <t>2026-06-23</t>
        </is>
      </c>
      <c r="C46" s="8" t="inlineStr">
        <is>
          <t>PSEKS3P317GJR</t>
        </is>
      </c>
      <c r="D46" s="8" t="inlineStr">
        <is>
          <t>Cachapas Queso Palmita</t>
        </is>
      </c>
      <c r="E46" s="8" t="n">
        <v>20</v>
      </c>
      <c r="F46" s="8" t="inlineStr">
        <is>
          <t>Unit</t>
        </is>
      </c>
      <c r="G46" s="9" t="n">
        <v>13.99</v>
      </c>
      <c r="H46" s="9" t="n">
        <v>279.8</v>
      </c>
    </row>
    <row r="47">
      <c r="A47" s="8" t="inlineStr">
        <is>
          <t>Latin Market Mana (MAYORISTA)</t>
        </is>
      </c>
      <c r="B47" s="8" t="inlineStr">
        <is>
          <t>2026-06-23</t>
        </is>
      </c>
      <c r="C47" s="8" t="inlineStr">
        <is>
          <t>PSEKS3P317GJR</t>
        </is>
      </c>
      <c r="D47" s="8" t="inlineStr">
        <is>
          <t>Queso de Mano 26 Oz</t>
        </is>
      </c>
      <c r="E47" s="8" t="n">
        <v>20</v>
      </c>
      <c r="F47" s="8" t="inlineStr">
        <is>
          <t>26 OZ</t>
        </is>
      </c>
      <c r="G47" s="9" t="n">
        <v>11</v>
      </c>
      <c r="H47" s="9" t="n">
        <v>220</v>
      </c>
    </row>
    <row r="48">
      <c r="A48" s="8" t="inlineStr">
        <is>
          <t>Latin Market Mana (MAYORISTA)</t>
        </is>
      </c>
      <c r="B48" s="8" t="inlineStr">
        <is>
          <t>2026-06-23</t>
        </is>
      </c>
      <c r="C48" s="8" t="inlineStr">
        <is>
          <t>PSEKS3P317GJR</t>
        </is>
      </c>
      <c r="D48" s="8" t="inlineStr">
        <is>
          <t>Nata Mana 32 Libras</t>
        </is>
      </c>
      <c r="E48" s="8" t="n">
        <v>1</v>
      </c>
      <c r="F48" s="8" t="inlineStr">
        <is>
          <t>32 LB</t>
        </is>
      </c>
      <c r="G48" s="9" t="n">
        <v>116</v>
      </c>
      <c r="H48" s="9" t="n">
        <v>116</v>
      </c>
    </row>
    <row r="49">
      <c r="A49" s="8" t="inlineStr">
        <is>
          <t>Latin Market Mana (MAYORISTA)</t>
        </is>
      </c>
      <c r="B49" s="8" t="inlineStr">
        <is>
          <t>2026-06-23</t>
        </is>
      </c>
      <c r="C49" s="8" t="inlineStr">
        <is>
          <t>PSEKS3P317GJR</t>
        </is>
      </c>
      <c r="D49" s="8" t="inlineStr">
        <is>
          <t>Tequenos Mana 160 Unidades</t>
        </is>
      </c>
      <c r="E49" s="8" t="n">
        <v>4</v>
      </c>
      <c r="F49" s="8" t="inlineStr">
        <is>
          <t>160 UN</t>
        </is>
      </c>
      <c r="G49" s="9" t="n">
        <v>87.75</v>
      </c>
      <c r="H49" s="9" t="n">
        <v>351</v>
      </c>
    </row>
    <row r="50">
      <c r="A50" s="8" t="inlineStr">
        <is>
          <t>Latin Market Mana (MAYORISTA)</t>
        </is>
      </c>
      <c r="B50" s="8" t="inlineStr">
        <is>
          <t>2026-06-23</t>
        </is>
      </c>
      <c r="C50" s="8" t="inlineStr">
        <is>
          <t>PSEKS3P317GJR</t>
        </is>
      </c>
      <c r="D50" s="8" t="inlineStr">
        <is>
          <t>Frescolita Lata 24 x 12 Onzas</t>
        </is>
      </c>
      <c r="E50" s="8" t="n">
        <v>5</v>
      </c>
      <c r="F50" s="8" t="inlineStr">
        <is>
          <t>24/12 OZ</t>
        </is>
      </c>
      <c r="G50" s="9" t="n">
        <v>23</v>
      </c>
      <c r="H50" s="9" t="n">
        <v>115</v>
      </c>
    </row>
    <row r="51">
      <c r="A51" s="8" t="inlineStr">
        <is>
          <t>Prudential Overall Supply</t>
        </is>
      </c>
      <c r="B51" s="8" t="inlineStr">
        <is>
          <t>2026-06-23</t>
        </is>
      </c>
      <c r="C51" s="8" t="inlineStr">
        <is>
          <t>300235790</t>
        </is>
      </c>
      <c r="D51" s="8" t="inlineStr">
        <is>
          <t>9930 BAR TOWEL (Rent)</t>
        </is>
      </c>
      <c r="E51" s="8" t="n">
        <v>150</v>
      </c>
      <c r="F51" s="8" t="n"/>
      <c r="G51" s="9" t="n">
        <v>0.17</v>
      </c>
      <c r="H51" s="9" t="n">
        <v>25.5</v>
      </c>
    </row>
    <row r="52">
      <c r="A52" s="8" t="inlineStr">
        <is>
          <t>Prudential Overall Supply</t>
        </is>
      </c>
      <c r="B52" s="8" t="inlineStr">
        <is>
          <t>2026-06-23</t>
        </is>
      </c>
      <c r="C52" s="8" t="inlineStr">
        <is>
          <t>300235790</t>
        </is>
      </c>
      <c r="D52" s="8" t="inlineStr">
        <is>
          <t>9930 BAR TOWEL (MMP)</t>
        </is>
      </c>
      <c r="E52" s="8" t="n">
        <v>6</v>
      </c>
      <c r="F52" s="8" t="n"/>
      <c r="G52" s="9" t="n">
        <v>1.11</v>
      </c>
      <c r="H52" s="9" t="n">
        <v>6.66</v>
      </c>
    </row>
    <row r="53">
      <c r="A53" s="8" t="inlineStr">
        <is>
          <t>Prudential Overall Supply</t>
        </is>
      </c>
      <c r="B53" s="8" t="inlineStr">
        <is>
          <t>2026-06-23</t>
        </is>
      </c>
      <c r="C53" s="8" t="inlineStr">
        <is>
          <t>300235790</t>
        </is>
      </c>
      <c r="D53" s="8" t="inlineStr">
        <is>
          <t>CO State Tax</t>
        </is>
      </c>
      <c r="E53" s="8" t="n"/>
      <c r="F53" s="8" t="n"/>
      <c r="G53" s="8" t="n"/>
      <c r="H53" s="9" t="n">
        <v>1.12</v>
      </c>
    </row>
    <row r="54">
      <c r="A54" s="8" t="inlineStr">
        <is>
          <t>Prudential Overall Supply</t>
        </is>
      </c>
      <c r="B54" s="8" t="inlineStr">
        <is>
          <t>2026-06-23</t>
        </is>
      </c>
      <c r="C54" s="8" t="inlineStr">
        <is>
          <t>300235790</t>
        </is>
      </c>
      <c r="D54" s="8" t="inlineStr">
        <is>
          <t>EDGEWATER Tax</t>
        </is>
      </c>
      <c r="E54" s="8" t="n"/>
      <c r="F54" s="8" t="n"/>
      <c r="G54" s="8" t="n"/>
      <c r="H54" s="9" t="n">
        <v>1.78</v>
      </c>
    </row>
    <row r="55">
      <c r="A55" s="8" t="inlineStr">
        <is>
          <t>Prudential Overall Supply</t>
        </is>
      </c>
      <c r="B55" s="8" t="inlineStr">
        <is>
          <t>2026-06-23</t>
        </is>
      </c>
      <c r="C55" s="8" t="inlineStr">
        <is>
          <t>300235790</t>
        </is>
      </c>
      <c r="D55" s="8" t="inlineStr">
        <is>
          <t>JEFFERSON COUNTY Tax</t>
        </is>
      </c>
      <c r="E55" s="8" t="n"/>
      <c r="F55" s="8" t="n"/>
      <c r="G55" s="8" t="n"/>
      <c r="H55" s="9" t="n">
        <v>0.19</v>
      </c>
    </row>
    <row r="56">
      <c r="A56" s="8" t="inlineStr">
        <is>
          <t>Prudential Overall Supply</t>
        </is>
      </c>
      <c r="B56" s="8" t="inlineStr">
        <is>
          <t>2026-06-23</t>
        </is>
      </c>
      <c r="C56" s="8" t="inlineStr">
        <is>
          <t>300235790</t>
        </is>
      </c>
      <c r="D56" s="8" t="inlineStr">
        <is>
          <t>Delivery Charge</t>
        </is>
      </c>
      <c r="E56" s="8" t="n"/>
      <c r="F56" s="8" t="n"/>
      <c r="G56" s="8" t="n"/>
      <c r="H56" s="9" t="n">
        <v>0.28</v>
      </c>
    </row>
    <row r="57">
      <c r="A57" s="8" t="inlineStr">
        <is>
          <t>Prudential Overall Supply</t>
        </is>
      </c>
      <c r="B57" s="8" t="inlineStr">
        <is>
          <t>2026-06-23</t>
        </is>
      </c>
      <c r="C57" s="8" t="inlineStr">
        <is>
          <t>300235790</t>
        </is>
      </c>
      <c r="D57" s="8" t="inlineStr">
        <is>
          <t>Delivery Charge</t>
        </is>
      </c>
      <c r="E57" s="8" t="n"/>
      <c r="F57" s="8" t="n"/>
      <c r="G57" s="8" t="n"/>
      <c r="H57" s="9" t="n">
        <v>6.53</v>
      </c>
    </row>
    <row r="58">
      <c r="A58" s="8" t="inlineStr">
        <is>
          <t>Prudential Overall Supply</t>
        </is>
      </c>
      <c r="B58" s="8" t="inlineStr">
        <is>
          <t>2026-06-16</t>
        </is>
      </c>
      <c r="C58" s="8" t="inlineStr">
        <is>
          <t>300235351</t>
        </is>
      </c>
      <c r="D58" s="8" t="inlineStr">
        <is>
          <t>9930 BAR TOWEL (Rent)</t>
        </is>
      </c>
      <c r="E58" s="8" t="n">
        <v>150</v>
      </c>
      <c r="F58" s="8" t="n"/>
      <c r="G58" s="9" t="n">
        <v>0.17</v>
      </c>
      <c r="H58" s="9" t="n">
        <v>25.5</v>
      </c>
    </row>
    <row r="59">
      <c r="A59" s="8" t="inlineStr">
        <is>
          <t>Prudential Overall Supply</t>
        </is>
      </c>
      <c r="B59" s="8" t="inlineStr">
        <is>
          <t>2026-06-16</t>
        </is>
      </c>
      <c r="C59" s="8" t="inlineStr">
        <is>
          <t>300235351</t>
        </is>
      </c>
      <c r="D59" s="8" t="inlineStr">
        <is>
          <t>9930 BAR TOWEL (MMP)</t>
        </is>
      </c>
      <c r="E59" s="8" t="n">
        <v>6</v>
      </c>
      <c r="F59" s="8" t="n"/>
      <c r="G59" s="9" t="n">
        <v>1.11</v>
      </c>
      <c r="H59" s="9" t="n">
        <v>6.66</v>
      </c>
    </row>
    <row r="60">
      <c r="A60" s="8" t="inlineStr">
        <is>
          <t>Prudential Overall Supply</t>
        </is>
      </c>
      <c r="B60" s="8" t="inlineStr">
        <is>
          <t>2026-06-16</t>
        </is>
      </c>
      <c r="C60" s="8" t="inlineStr">
        <is>
          <t>300235351</t>
        </is>
      </c>
      <c r="D60" s="8" t="inlineStr">
        <is>
          <t>CO State Tax</t>
        </is>
      </c>
      <c r="E60" s="8" t="n"/>
      <c r="F60" s="8" t="n"/>
      <c r="G60" s="8" t="n"/>
      <c r="H60" s="9" t="n">
        <v>1.12</v>
      </c>
    </row>
    <row r="61">
      <c r="A61" s="8" t="inlineStr">
        <is>
          <t>Prudential Overall Supply</t>
        </is>
      </c>
      <c r="B61" s="8" t="inlineStr">
        <is>
          <t>2026-06-16</t>
        </is>
      </c>
      <c r="C61" s="8" t="inlineStr">
        <is>
          <t>300235351</t>
        </is>
      </c>
      <c r="D61" s="8" t="inlineStr">
        <is>
          <t>EDGEWATER Tax</t>
        </is>
      </c>
      <c r="E61" s="8" t="n"/>
      <c r="F61" s="8" t="n"/>
      <c r="G61" s="8" t="n"/>
      <c r="H61" s="9" t="n">
        <v>1.78</v>
      </c>
    </row>
    <row r="62">
      <c r="A62" s="8" t="inlineStr">
        <is>
          <t>Prudential Overall Supply</t>
        </is>
      </c>
      <c r="B62" s="8" t="inlineStr">
        <is>
          <t>2026-06-16</t>
        </is>
      </c>
      <c r="C62" s="8" t="inlineStr">
        <is>
          <t>300235351</t>
        </is>
      </c>
      <c r="D62" s="8" t="inlineStr">
        <is>
          <t>JEFFERSON COUNTY Tax</t>
        </is>
      </c>
      <c r="E62" s="8" t="n"/>
      <c r="F62" s="8" t="n"/>
      <c r="G62" s="8" t="n"/>
      <c r="H62" s="9" t="n">
        <v>0.19</v>
      </c>
    </row>
    <row r="63">
      <c r="A63" s="8" t="inlineStr">
        <is>
          <t>Prudential Overall Supply</t>
        </is>
      </c>
      <c r="B63" s="8" t="inlineStr">
        <is>
          <t>2026-06-16</t>
        </is>
      </c>
      <c r="C63" s="8" t="inlineStr">
        <is>
          <t>300235351</t>
        </is>
      </c>
      <c r="D63" s="8" t="inlineStr">
        <is>
          <t>Delivery Charge</t>
        </is>
      </c>
      <c r="E63" s="8" t="n"/>
      <c r="F63" s="8" t="n"/>
      <c r="G63" s="8" t="n"/>
      <c r="H63" s="9" t="n">
        <v>0.28</v>
      </c>
    </row>
    <row r="64">
      <c r="A64" s="8" t="inlineStr">
        <is>
          <t>Prudential Overall Supply</t>
        </is>
      </c>
      <c r="B64" s="8" t="inlineStr">
        <is>
          <t>2026-06-16</t>
        </is>
      </c>
      <c r="C64" s="8" t="inlineStr">
        <is>
          <t>300235351</t>
        </is>
      </c>
      <c r="D64" s="8" t="inlineStr">
        <is>
          <t>Delivery Charge</t>
        </is>
      </c>
      <c r="E64" s="8" t="n"/>
      <c r="F64" s="8" t="n"/>
      <c r="G64" s="8" t="n"/>
      <c r="H64" s="9" t="n">
        <v>6.53</v>
      </c>
    </row>
    <row r="65">
      <c r="A65" s="8" t="inlineStr">
        <is>
          <t>Latin Market Mana (MAYORISTA)</t>
        </is>
      </c>
      <c r="B65" s="8" t="inlineStr">
        <is>
          <t>2026-06-15</t>
        </is>
      </c>
      <c r="C65" s="8" t="inlineStr">
        <is>
          <t>JZTX98TS8R1XW</t>
        </is>
      </c>
      <c r="D65" s="8" t="inlineStr">
        <is>
          <t>Nata Mana 32 Libras</t>
        </is>
      </c>
      <c r="E65" s="8" t="n">
        <v>1</v>
      </c>
      <c r="F65" s="8" t="inlineStr">
        <is>
          <t>32 LB</t>
        </is>
      </c>
      <c r="G65" s="9" t="n">
        <v>116</v>
      </c>
      <c r="H65" s="9" t="n">
        <v>116</v>
      </c>
    </row>
    <row r="66">
      <c r="A66" s="8" t="inlineStr">
        <is>
          <t>Latin Market Mana (MAYORISTA)</t>
        </is>
      </c>
      <c r="B66" s="8" t="inlineStr">
        <is>
          <t>2026-06-12</t>
        </is>
      </c>
      <c r="C66" s="8" t="inlineStr">
        <is>
          <t>VA375MKQ3HGWG</t>
        </is>
      </c>
      <c r="D66" s="8" t="inlineStr">
        <is>
          <t>Cocosette 18 x 50 Gr</t>
        </is>
      </c>
      <c r="E66" s="8" t="n">
        <v>2</v>
      </c>
      <c r="F66" s="8" t="inlineStr">
        <is>
          <t>18/50 G</t>
        </is>
      </c>
      <c r="G66" s="9" t="n">
        <v>14.73</v>
      </c>
      <c r="H66" s="9" t="n">
        <v>29.46</v>
      </c>
    </row>
    <row r="67">
      <c r="A67" s="8" t="inlineStr">
        <is>
          <t>Latin Market Mana (MAYORISTA)</t>
        </is>
      </c>
      <c r="B67" s="8" t="inlineStr">
        <is>
          <t>2026-06-12</t>
        </is>
      </c>
      <c r="C67" s="8" t="inlineStr">
        <is>
          <t>VA375MKQ3HGWG</t>
        </is>
      </c>
      <c r="D67" s="8" t="inlineStr">
        <is>
          <t>Samba Chocolate 20 x 32 Gr</t>
        </is>
      </c>
      <c r="E67" s="8" t="n">
        <v>5</v>
      </c>
      <c r="F67" s="8" t="inlineStr">
        <is>
          <t>20/32 G</t>
        </is>
      </c>
      <c r="G67" s="9" t="n">
        <v>18.81</v>
      </c>
      <c r="H67" s="9" t="n">
        <v>94.05</v>
      </c>
    </row>
    <row r="68">
      <c r="A68" s="8" t="inlineStr">
        <is>
          <t>Latin Market Mana (MAYORISTA)</t>
        </is>
      </c>
      <c r="B68" s="8" t="inlineStr">
        <is>
          <t>2026-06-12</t>
        </is>
      </c>
      <c r="C68" s="8" t="inlineStr">
        <is>
          <t>VA375MKQ3HGWG</t>
        </is>
      </c>
      <c r="D68" s="8" t="inlineStr">
        <is>
          <t>CriCri 27Gr x 12 Unidades</t>
        </is>
      </c>
      <c r="E68" s="8" t="n">
        <v>3</v>
      </c>
      <c r="F68" s="8" t="inlineStr">
        <is>
          <t>12/27 G</t>
        </is>
      </c>
      <c r="G68" s="9" t="n">
        <v>11.93</v>
      </c>
      <c r="H68" s="9" t="n">
        <v>35.79</v>
      </c>
    </row>
    <row r="69">
      <c r="A69" s="8" t="inlineStr">
        <is>
          <t>Latin Market Mana (MAYORISTA)</t>
        </is>
      </c>
      <c r="B69" s="8" t="inlineStr">
        <is>
          <t>2026-06-12</t>
        </is>
      </c>
      <c r="C69" s="8" t="inlineStr">
        <is>
          <t>VA375MKQ3HGWG</t>
        </is>
      </c>
      <c r="D69" s="8" t="inlineStr">
        <is>
          <t>Milk Savoy 12 x 30 Gr</t>
        </is>
      </c>
      <c r="E69" s="8" t="n">
        <v>3</v>
      </c>
      <c r="F69" s="8" t="inlineStr">
        <is>
          <t>12/30 G</t>
        </is>
      </c>
      <c r="G69" s="9" t="n">
        <v>13.5</v>
      </c>
      <c r="H69" s="9" t="n">
        <v>40.5</v>
      </c>
    </row>
    <row r="70">
      <c r="A70" s="8" t="inlineStr">
        <is>
          <t>Latin Market Mana (MAYORISTA)</t>
        </is>
      </c>
      <c r="B70" s="8" t="inlineStr">
        <is>
          <t>2026-06-12</t>
        </is>
      </c>
      <c r="C70" s="8" t="inlineStr">
        <is>
          <t>VA375MKQ3HGWG</t>
        </is>
      </c>
      <c r="D70" s="8" t="inlineStr">
        <is>
          <t>Pirucream 300 Gr</t>
        </is>
      </c>
      <c r="E70" s="8" t="n">
        <v>5</v>
      </c>
      <c r="F70" s="8" t="inlineStr">
        <is>
          <t>300 G</t>
        </is>
      </c>
      <c r="G70" s="9" t="n">
        <v>6.97</v>
      </c>
      <c r="H70" s="9" t="n">
        <v>34.85</v>
      </c>
    </row>
    <row r="71">
      <c r="A71" s="8" t="inlineStr">
        <is>
          <t>Latin Market Mana (MAYORISTA)</t>
        </is>
      </c>
      <c r="B71" s="8" t="inlineStr">
        <is>
          <t>2026-06-12</t>
        </is>
      </c>
      <c r="C71" s="8" t="inlineStr">
        <is>
          <t>VA375MKQ3HGWG</t>
        </is>
      </c>
      <c r="D71" s="8" t="inlineStr">
        <is>
          <t>Galak Chocolate 12 x 30 Gr</t>
        </is>
      </c>
      <c r="E71" s="8" t="n">
        <v>2</v>
      </c>
      <c r="F71" s="8" t="inlineStr">
        <is>
          <t>12/30 G</t>
        </is>
      </c>
      <c r="G71" s="9" t="n">
        <v>11.93</v>
      </c>
      <c r="H71" s="9" t="n">
        <v>23.86</v>
      </c>
    </row>
    <row r="72">
      <c r="A72" s="8" t="inlineStr">
        <is>
          <t>Latin Market Mana (MAYORISTA)</t>
        </is>
      </c>
      <c r="B72" s="8" t="inlineStr">
        <is>
          <t>2026-06-12</t>
        </is>
      </c>
      <c r="C72" s="8" t="inlineStr">
        <is>
          <t>VA375MKQ3HGWG</t>
        </is>
      </c>
      <c r="D72" s="8" t="inlineStr">
        <is>
          <t>Tequenos Mana 160 Unidades</t>
        </is>
      </c>
      <c r="E72" s="8" t="n">
        <v>4</v>
      </c>
      <c r="F72" s="8" t="inlineStr">
        <is>
          <t>160 UN</t>
        </is>
      </c>
      <c r="G72" s="9" t="n">
        <v>87.75</v>
      </c>
      <c r="H72" s="9" t="n">
        <v>351</v>
      </c>
    </row>
    <row r="73">
      <c r="A73" s="8" t="inlineStr">
        <is>
          <t>Latin Market Mana (MAYORISTA)</t>
        </is>
      </c>
      <c r="B73" s="8" t="inlineStr">
        <is>
          <t>2026-06-12</t>
        </is>
      </c>
      <c r="C73" s="8" t="inlineStr">
        <is>
          <t>VA375MKQ3HGWG</t>
        </is>
      </c>
      <c r="D73" s="8" t="inlineStr">
        <is>
          <t>Cachapas Queso Palmita</t>
        </is>
      </c>
      <c r="E73" s="8" t="n">
        <v>15</v>
      </c>
      <c r="F73" s="8" t="inlineStr">
        <is>
          <t>Unit</t>
        </is>
      </c>
      <c r="G73" s="9" t="n">
        <v>13.99</v>
      </c>
      <c r="H73" s="9" t="n">
        <v>209.85</v>
      </c>
    </row>
    <row r="74">
      <c r="A74" s="8" t="inlineStr">
        <is>
          <t>Latin Market Mana (MAYORISTA)</t>
        </is>
      </c>
      <c r="B74" s="8" t="inlineStr">
        <is>
          <t>2026-06-12</t>
        </is>
      </c>
      <c r="C74" s="8" t="inlineStr">
        <is>
          <t>VA375MKQ3HGWG</t>
        </is>
      </c>
      <c r="D74" s="8" t="inlineStr">
        <is>
          <t>Queso de Mano 26 Oz</t>
        </is>
      </c>
      <c r="E74" s="8" t="n">
        <v>15</v>
      </c>
      <c r="F74" s="8" t="inlineStr">
        <is>
          <t>26 OZ</t>
        </is>
      </c>
      <c r="G74" s="9" t="n">
        <v>11</v>
      </c>
      <c r="H74" s="9" t="n">
        <v>165</v>
      </c>
    </row>
    <row r="75">
      <c r="A75" s="8" t="inlineStr">
        <is>
          <t>Latin Market Mana (MAYORISTA)</t>
        </is>
      </c>
      <c r="B75" s="8" t="inlineStr">
        <is>
          <t>2026-06-12</t>
        </is>
      </c>
      <c r="C75" s="8" t="inlineStr">
        <is>
          <t>VA375MKQ3HGWG</t>
        </is>
      </c>
      <c r="D75" s="8" t="inlineStr">
        <is>
          <t>Concentrado de Parchita 1 Galon</t>
        </is>
      </c>
      <c r="E75" s="8" t="n">
        <v>10</v>
      </c>
      <c r="F75" s="8" t="inlineStr">
        <is>
          <t>1 GAL</t>
        </is>
      </c>
      <c r="G75" s="9" t="n">
        <v>15.39</v>
      </c>
      <c r="H75" s="9" t="n">
        <v>153.9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Arepas House - Menu Profitability Workbook</t>
        </is>
      </c>
    </row>
    <row r="2">
      <c r="A2" t="inlineStr">
        <is>
          <t>Generated 2026-07-11 by Claude from Square catalog + supplier invoices in Google Drive 'Claude Managed/Supplier Invoices'.</t>
        </is>
      </c>
    </row>
    <row r="3">
      <c r="A3" t="inlineStr"/>
    </row>
    <row r="4">
      <c r="A4" s="22" t="inlineStr">
        <is>
          <t>HOW IT WORKS</t>
        </is>
      </c>
    </row>
    <row r="5">
      <c r="A5" t="inlineStr">
        <is>
          <t>1. 'Ingredient Prices' holds what you pay vendors, converted to a cost per oz / fl oz / each.</t>
        </is>
      </c>
    </row>
    <row r="6">
      <c r="A6" t="inlineStr">
        <is>
          <t>2. 'Recipes' lists what goes into each menu item. Line Cost = Qty x Unit Cost (looked up automatically).</t>
        </is>
      </c>
    </row>
    <row r="7">
      <c r="A7" t="inlineStr">
        <is>
          <t>3. 'Menu Profitability' sums each item's recipe lines and compares to the Square menu price.</t>
        </is>
      </c>
    </row>
    <row r="8">
      <c r="A8" t="inlineStr">
        <is>
          <t xml:space="preserve">   Food Cost % is color coded: green &lt; 30%, yellow 30-40%, red &gt; 40%.</t>
        </is>
      </c>
    </row>
    <row r="9">
      <c r="A9" t="inlineStr"/>
    </row>
    <row r="10">
      <c r="A10" s="22" t="inlineStr">
        <is>
          <t>WHAT YOU NEED TO REVIEW (in priority order)</t>
        </is>
      </c>
    </row>
    <row r="11">
      <c r="A11" t="inlineStr">
        <is>
          <t>A. Recipe portions (Recipes sheet, col C) are DRAFT estimates from the menu descriptions.</t>
        </is>
      </c>
    </row>
    <row r="12">
      <c r="A12" t="inlineStr">
        <is>
          <t xml:space="preserve">   Correct them to your real serving sizes - everything recalculates.</t>
        </is>
      </c>
    </row>
    <row r="13">
      <c r="A13" t="inlineStr">
        <is>
          <t>B. Dark-orange rows on 'Ingredient Prices': yuca fries and sweet plantain prices were unreadable</t>
        </is>
      </c>
    </row>
    <row r="14">
      <c r="A14" t="inlineStr">
        <is>
          <t xml:space="preserve">   on the 07-03 invoice scan. Enter the pack price - until then Yucca Fries and Plantains &amp; Cheese costs are understated.</t>
        </is>
      </c>
    </row>
    <row r="15">
      <c r="A15" t="inlineStr">
        <is>
          <t>C. Orange ESTIMATE rows: items not on any invoice in the last 30 days (Harina PAN, produce for slaw,</t>
        </is>
      </c>
    </row>
    <row r="16">
      <c r="A16" t="inlineStr">
        <is>
          <t xml:space="preserve">   packaging, Malta, etc.). Replace with your real prices.</t>
        </is>
      </c>
    </row>
    <row r="17">
      <c r="A17" t="inlineStr">
        <is>
          <t>D. Yellow CHECK rows: invoice price is real but the pack size/weight was not printed, so the yield is assumed.</t>
        </is>
      </c>
    </row>
    <row r="18">
      <c r="A18" t="inlineStr">
        <is>
          <t>E. Cachapas: the Palmita pack price is $13.99 but I don't know how many cachapas come per pack (yield qty = 1 for now).</t>
        </is>
      </c>
    </row>
    <row r="19">
      <c r="A19" t="inlineStr"/>
    </row>
    <row r="20">
      <c r="A20" s="22" t="inlineStr">
        <is>
          <t>NOTES</t>
        </is>
      </c>
    </row>
    <row r="21">
      <c r="A21" t="inlineStr">
        <is>
          <t>- Meat quantities are raw weight; cooked shrinkage is roughly built into the draft portions.</t>
        </is>
      </c>
    </row>
    <row r="22">
      <c r="A22" t="inlineStr">
        <is>
          <t>- Black beans unit cost is per cooked oz (25 lb dry bag x ~2.2 hydration yield).</t>
        </is>
      </c>
    </row>
    <row r="23">
      <c r="A23" t="inlineStr">
        <is>
          <t>- Towel service (Prudential/Clean Green), fuel surcharges and delivery fees are overhead, not COGS - they appear only in the Invoice Log.</t>
        </is>
      </c>
    </row>
    <row r="24">
      <c r="A24" t="inlineStr">
        <is>
          <t>- US Foods 07-09 scan was partly unreadable: chicken $107.34/case and cheddar $139.18/case are best readings - verify.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2026-07-11T14:10:44Z</dcterms:created>
  <dcterms:modified xsi:type="dcterms:W3CDTF">2026-07-11T14:10:44Z</dcterms:modified>
</cp:coreProperties>
</file>